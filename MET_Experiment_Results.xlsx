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Results" sheetId="1" state="visible" r:id="rId3"/>
    <sheet name="Average Results" sheetId="2" state="visible" r:id="rId4"/>
    <sheet name="Cha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<sst xmlns="http://schemas.openxmlformats.org/spreadsheetml/2006/main" count="181" uniqueCount="38">
  <si>
    <t xml:space="preserve">Family</t>
  </si>
  <si>
    <t xml:space="preserve">Dataset</t>
  </si>
  <si>
    <t xml:space="preserve">Tasks</t>
  </si>
  <si>
    <t xml:space="preserve">Run</t>
  </si>
  <si>
    <t xml:space="preserve">Completed Cloudlets</t>
  </si>
  <si>
    <t xml:space="preserve">Makespan (s)</t>
  </si>
  <si>
    <t xml:space="preserve">Degree of Imbalance</t>
  </si>
  <si>
    <t xml:space="preserve">Average Waiting Time (s)</t>
  </si>
  <si>
    <t xml:space="preserve">Throughput (cloudlets/s)</t>
  </si>
  <si>
    <t xml:space="preserve">Average VM Utilization (%)</t>
  </si>
  <si>
    <t xml:space="preserve">GoCJ</t>
  </si>
  <si>
    <t xml:space="preserve">GoCJ_100</t>
  </si>
  <si>
    <t xml:space="preserve">GoCJ_200</t>
  </si>
  <si>
    <t xml:space="preserve">GoCJ_300</t>
  </si>
  <si>
    <t xml:space="preserve">GoCJ_400</t>
  </si>
  <si>
    <t xml:space="preserve">GoCJ_500</t>
  </si>
  <si>
    <t xml:space="preserve">GoCJ_600</t>
  </si>
  <si>
    <t xml:space="preserve">GoCJ_700</t>
  </si>
  <si>
    <t xml:space="preserve">GoCJ_800</t>
  </si>
  <si>
    <t xml:space="preserve">GoCJ_900</t>
  </si>
  <si>
    <t xml:space="preserve">GoCJ_1000</t>
  </si>
  <si>
    <t xml:space="preserve">Synthetic</t>
  </si>
  <si>
    <t xml:space="preserve">Synthetic_1000</t>
  </si>
  <si>
    <t xml:space="preserve">Synthetic_2000</t>
  </si>
  <si>
    <t xml:space="preserve">Synthetic_3000</t>
  </si>
  <si>
    <t xml:space="preserve">Synthetic_4000</t>
  </si>
  <si>
    <t xml:space="preserve">Synthetic_5000</t>
  </si>
  <si>
    <t xml:space="preserve">Synthetic_6000</t>
  </si>
  <si>
    <t xml:space="preserve">Synthetic_7000</t>
  </si>
  <si>
    <t xml:space="preserve">Synthetic_8000</t>
  </si>
  <si>
    <t xml:space="preserve">Synthetic_9000</t>
  </si>
  <si>
    <t xml:space="preserve">Synthetic_10000</t>
  </si>
  <si>
    <t xml:space="preserve">Average Makespan (s)</t>
  </si>
  <si>
    <t xml:space="preserve">Average Throughput (cloudlets/s)</t>
  </si>
  <si>
    <t xml:space="preserve">Average Degree of Imbalance</t>
  </si>
  <si>
    <t xml:space="preserve">Catatan: setiap nilai adalah rata-rata 3 run dari sheet Raw Results (AVERAGEIFS). Baris 2-11 = GoCJ, baris 12-21 = Synthetic.</t>
  </si>
  <si>
    <t xml:space="preserve">Grafik GoCJ (100-1000 task)</t>
  </si>
  <si>
    <t xml:space="preserve">Grafik Synthetic (1000-10000 task)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</si>
</sst>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GoCJ: Makespan vs Jumlah Task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'Average Results'!$C$2:$C$11</c:f>
              <c:strCach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strCache>
            </c:strRef>
          </c:cat>
          <c:val>
            <c:numRef>
              <c:f>'Average Results'!$D$2:$D$11</c:f>
              <c:numCache>
                <c:formatCode>0.00</c:formatCode>
                <c:ptCount val="10"/>
                <c:pt idx="0">
                  <c:v>2703.81</c:v>
                </c:pt>
                <c:pt idx="1">
                  <c:v>2819.61</c:v>
                </c:pt>
                <c:pt idx="2">
                  <c:v>7612.21</c:v>
                </c:pt>
                <c:pt idx="3">
                  <c:v>18035.41</c:v>
                </c:pt>
                <c:pt idx="4">
                  <c:v>6573.61</c:v>
                </c:pt>
                <c:pt idx="5">
                  <c:v>15021.41</c:v>
                </c:pt>
                <c:pt idx="6">
                  <c:v>11927.01</c:v>
                </c:pt>
                <c:pt idx="7">
                  <c:v>27485.21</c:v>
                </c:pt>
                <c:pt idx="8">
                  <c:v>32757.81</c:v>
                </c:pt>
                <c:pt idx="9">
                  <c:v>22779.81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880062"/>
        <c:axId val="46490343"/>
      </c:lineChart>
      <c:catAx>
        <c:axId val="788800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Jumlah Task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90343"/>
        <c:crosses val="autoZero"/>
        <c:auto val="1"/>
        <c:lblAlgn val="ctr"/>
        <c:lblOffset val="100"/>
        <c:noMultiLvlLbl val="0"/>
      </c:catAx>
      <c:valAx>
        <c:axId val="4649034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Makespan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800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GoCJ: Average Waiting Time vs Jumlah Task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'Average Results'!$C$2:$C$11</c:f>
              <c:strCach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strCache>
            </c:strRef>
          </c:cat>
          <c:val>
            <c:numRef>
              <c:f>'Average Results'!$E$2:$E$11</c:f>
              <c:numCache>
                <c:formatCode>0.00</c:formatCode>
                <c:ptCount val="10"/>
                <c:pt idx="0">
                  <c:v>1199.316</c:v>
                </c:pt>
                <c:pt idx="1">
                  <c:v>1415.346</c:v>
                </c:pt>
                <c:pt idx="2">
                  <c:v>3653.2327</c:v>
                </c:pt>
                <c:pt idx="3">
                  <c:v>7746.8145</c:v>
                </c:pt>
                <c:pt idx="4">
                  <c:v>3204.81</c:v>
                </c:pt>
                <c:pt idx="5">
                  <c:v>6734.208</c:v>
                </c:pt>
                <c:pt idx="6">
                  <c:v>5294.5951</c:v>
                </c:pt>
                <c:pt idx="7">
                  <c:v>11212.0375</c:v>
                </c:pt>
                <c:pt idx="8">
                  <c:v>12056.4467</c:v>
                </c:pt>
                <c:pt idx="9">
                  <c:v>8748.2664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984384"/>
        <c:axId val="69411643"/>
      </c:lineChart>
      <c:catAx>
        <c:axId val="859843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Jumlah Task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11643"/>
        <c:crosses val="autoZero"/>
        <c:auto val="1"/>
        <c:lblAlgn val="ctr"/>
        <c:lblOffset val="100"/>
        <c:noMultiLvlLbl val="0"/>
      </c:catAx>
      <c:valAx>
        <c:axId val="6941164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Waiting 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843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GoCJ: Throughput vs Jumlah Task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'Average Results'!$C$2:$C$11</c:f>
              <c:strCach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strCache>
            </c:strRef>
          </c:cat>
          <c:val>
            <c:numRef>
              <c:f>'Average Results'!$F$2:$F$11</c:f>
              <c:numCache>
                <c:formatCode>0.0000</c:formatCode>
                <c:ptCount val="10"/>
                <c:pt idx="0">
                  <c:v>0.037</c:v>
                </c:pt>
                <c:pt idx="1">
                  <c:v>0.0709</c:v>
                </c:pt>
                <c:pt idx="2">
                  <c:v>0.0394</c:v>
                </c:pt>
                <c:pt idx="3">
                  <c:v>0.0222</c:v>
                </c:pt>
                <c:pt idx="4">
                  <c:v>0.0761</c:v>
                </c:pt>
                <c:pt idx="5">
                  <c:v>0.0399</c:v>
                </c:pt>
                <c:pt idx="6">
                  <c:v>0.0587</c:v>
                </c:pt>
                <c:pt idx="7">
                  <c:v>0.0291</c:v>
                </c:pt>
                <c:pt idx="8">
                  <c:v>0.0275</c:v>
                </c:pt>
                <c:pt idx="9">
                  <c:v>0.0439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136462"/>
        <c:axId val="32342799"/>
      </c:lineChart>
      <c:catAx>
        <c:axId val="781364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Jumlah Task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42799"/>
        <c:crosses val="autoZero"/>
        <c:auto val="1"/>
        <c:lblAlgn val="ctr"/>
        <c:lblOffset val="100"/>
        <c:noMultiLvlLbl val="0"/>
      </c:catAx>
      <c:valAx>
        <c:axId val="3234279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Throughput (cloudlets/s)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364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GoCJ: Degree of Imbalance vs Jumlah Task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'Average Results'!$C$2:$C$11</c:f>
              <c:strCach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strCache>
            </c:strRef>
          </c:cat>
          <c:val>
            <c:numRef>
              <c:f>'Average Results'!$G$2:$G$11</c:f>
              <c:numCache>
                <c:formatCode>0.00</c:formatCode>
                <c:ptCount val="1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938209"/>
        <c:axId val="27129266"/>
      </c:lineChart>
      <c:catAx>
        <c:axId val="39382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Jumlah Task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29266"/>
        <c:crosses val="autoZero"/>
        <c:auto val="1"/>
        <c:lblAlgn val="ctr"/>
        <c:lblOffset val="100"/>
        <c:noMultiLvlLbl val="0"/>
      </c:catAx>
      <c:valAx>
        <c:axId val="27129266"/>
        <c:scaling>
          <c:orientation val="minMax"/>
          <c:max val="2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Degree of Imbalance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82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GoCJ: Average VM Utilization vs Jumlah Task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'Average Results'!$C$2:$C$11</c:f>
              <c:strCach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strCache>
            </c:strRef>
          </c:cat>
          <c:val>
            <c:numRef>
              <c:f>'Average Results'!$H$2:$H$11</c:f>
              <c:numCache>
                <c:formatCode>0.00</c:formatCode>
                <c:ptCount val="10"/>
                <c:pt idx="0">
                  <c:v>9.9929</c:v>
                </c:pt>
                <c:pt idx="1">
                  <c:v>19.3073</c:v>
                </c:pt>
                <c:pt idx="2">
                  <c:v>10.9104</c:v>
                </c:pt>
                <c:pt idx="3">
                  <c:v>5.752</c:v>
                </c:pt>
                <c:pt idx="4">
                  <c:v>19.7765</c:v>
                </c:pt>
                <c:pt idx="5">
                  <c:v>10.9632</c:v>
                </c:pt>
                <c:pt idx="6">
                  <c:v>14.6715</c:v>
                </c:pt>
                <c:pt idx="7">
                  <c:v>7.2008</c:v>
                </c:pt>
                <c:pt idx="8">
                  <c:v>7.3294</c:v>
                </c:pt>
                <c:pt idx="9">
                  <c:v>11.3839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632289"/>
        <c:axId val="33216677"/>
      </c:lineChart>
      <c:catAx>
        <c:axId val="596322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Jumlah Task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16677"/>
        <c:crosses val="autoZero"/>
        <c:auto val="1"/>
        <c:lblAlgn val="ctr"/>
        <c:lblOffset val="100"/>
        <c:noMultiLvlLbl val="0"/>
      </c:catAx>
      <c:valAx>
        <c:axId val="3321667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VM Utilization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322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Synthetic: Makespan vs Jumlah Task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'Average Results'!$C$12:$C$21</c:f>
              <c:strCach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strCache>
            </c:strRef>
          </c:cat>
          <c:val>
            <c:numRef>
              <c:f>'Average Results'!$D$12:$D$21</c:f>
              <c:numCache>
                <c:formatCode>0.00</c:formatCode>
                <c:ptCount val="10"/>
                <c:pt idx="0">
                  <c:v>18697.8676</c:v>
                </c:pt>
                <c:pt idx="1">
                  <c:v>37392.9544</c:v>
                </c:pt>
                <c:pt idx="2">
                  <c:v>55813.8372</c:v>
                </c:pt>
                <c:pt idx="3">
                  <c:v>73713.864</c:v>
                </c:pt>
                <c:pt idx="4">
                  <c:v>92886.0948</c:v>
                </c:pt>
                <c:pt idx="5">
                  <c:v>111503.3932</c:v>
                </c:pt>
                <c:pt idx="6">
                  <c:v>130591.384</c:v>
                </c:pt>
                <c:pt idx="7">
                  <c:v>148490.6976</c:v>
                </c:pt>
                <c:pt idx="8">
                  <c:v>166938.2828</c:v>
                </c:pt>
                <c:pt idx="9">
                  <c:v>185179.1696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557387"/>
        <c:axId val="71104367"/>
      </c:lineChart>
      <c:catAx>
        <c:axId val="285573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Jumlah Task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04367"/>
        <c:crosses val="autoZero"/>
        <c:auto val="1"/>
        <c:lblAlgn val="ctr"/>
        <c:lblOffset val="100"/>
        <c:noMultiLvlLbl val="0"/>
      </c:catAx>
      <c:valAx>
        <c:axId val="7110436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Makespan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573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Synthetic: Average Waiting Time vs Jumlah Task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'Average Results'!$C$12:$C$21</c:f>
              <c:strCach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strCache>
            </c:strRef>
          </c:cat>
          <c:val>
            <c:numRef>
              <c:f>'Average Results'!$E$12:$E$21</c:f>
              <c:numCache>
                <c:formatCode>0.00</c:formatCode>
                <c:ptCount val="10"/>
                <c:pt idx="0">
                  <c:v>9187.692</c:v>
                </c:pt>
                <c:pt idx="1">
                  <c:v>18707.5826</c:v>
                </c:pt>
                <c:pt idx="2">
                  <c:v>27481.9951</c:v>
                </c:pt>
                <c:pt idx="3">
                  <c:v>36027.1377</c:v>
                </c:pt>
                <c:pt idx="4">
                  <c:v>46383.4689</c:v>
                </c:pt>
                <c:pt idx="5">
                  <c:v>55737.1555</c:v>
                </c:pt>
                <c:pt idx="6">
                  <c:v>65521.7715</c:v>
                </c:pt>
                <c:pt idx="7">
                  <c:v>74212.2587</c:v>
                </c:pt>
                <c:pt idx="8">
                  <c:v>82771.7851</c:v>
                </c:pt>
                <c:pt idx="9">
                  <c:v>94672.2837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033101"/>
        <c:axId val="68385328"/>
      </c:lineChart>
      <c:catAx>
        <c:axId val="850331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Jumlah Task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85328"/>
        <c:crosses val="autoZero"/>
        <c:auto val="1"/>
        <c:lblAlgn val="ctr"/>
        <c:lblOffset val="100"/>
        <c:noMultiLvlLbl val="0"/>
      </c:catAx>
      <c:valAx>
        <c:axId val="6838532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Waiting 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331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Synthetic: Throughput vs Jumlah Task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'Average Results'!$C$12:$C$21</c:f>
              <c:strCach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strCache>
            </c:strRef>
          </c:cat>
          <c:val>
            <c:numRef>
              <c:f>'Average Results'!$F$12:$F$21</c:f>
              <c:numCache>
                <c:formatCode>0.0000</c:formatCode>
                <c:ptCount val="10"/>
                <c:pt idx="0">
                  <c:v>0.0535</c:v>
                </c:pt>
                <c:pt idx="1">
                  <c:v>0.0535</c:v>
                </c:pt>
                <c:pt idx="2">
                  <c:v>0.0538</c:v>
                </c:pt>
                <c:pt idx="3">
                  <c:v>0.0543</c:v>
                </c:pt>
                <c:pt idx="4">
                  <c:v>0.0538</c:v>
                </c:pt>
                <c:pt idx="5">
                  <c:v>0.0538</c:v>
                </c:pt>
                <c:pt idx="6">
                  <c:v>0.0536</c:v>
                </c:pt>
                <c:pt idx="7">
                  <c:v>0.0539</c:v>
                </c:pt>
                <c:pt idx="8">
                  <c:v>0.0539</c:v>
                </c:pt>
                <c:pt idx="9">
                  <c:v>0.054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675934"/>
        <c:axId val="57738608"/>
      </c:lineChart>
      <c:catAx>
        <c:axId val="176759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Jumlah Task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38608"/>
        <c:crosses val="autoZero"/>
        <c:auto val="1"/>
        <c:lblAlgn val="ctr"/>
        <c:lblOffset val="100"/>
        <c:noMultiLvlLbl val="0"/>
      </c:catAx>
      <c:valAx>
        <c:axId val="5773860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Throughput (cloudlets/s)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759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Synthetic: Degree of Imbalance vs Jumlah Task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'Average Results'!$C$12:$C$21</c:f>
              <c:strCach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strCache>
            </c:strRef>
          </c:cat>
          <c:val>
            <c:numRef>
              <c:f>'Average Results'!$G$12:$G$21</c:f>
              <c:numCache>
                <c:formatCode>0.00</c:formatCode>
                <c:ptCount val="1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404393"/>
        <c:axId val="49444811"/>
      </c:lineChart>
      <c:catAx>
        <c:axId val="324043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Jumlah Task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44811"/>
        <c:crosses val="autoZero"/>
        <c:auto val="1"/>
        <c:lblAlgn val="ctr"/>
        <c:lblOffset val="100"/>
        <c:noMultiLvlLbl val="0"/>
      </c:catAx>
      <c:valAx>
        <c:axId val="49444811"/>
        <c:scaling>
          <c:orientation val="minMax"/>
          <c:max val="2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Degree of Imbalance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043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Synthetic: Average VM Utilization vs Jumlah Task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'Average Results'!$C$12:$C$21</c:f>
              <c:strCach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strCache>
            </c:strRef>
          </c:cat>
          <c:val>
            <c:numRef>
              <c:f>'Average Results'!$H$12:$H$21</c:f>
              <c:numCache>
                <c:formatCode>0.00</c:formatCode>
                <c:ptCount val="10"/>
                <c:pt idx="0">
                  <c:v>19.926</c:v>
                </c:pt>
                <c:pt idx="1">
                  <c:v>19.9101</c:v>
                </c:pt>
                <c:pt idx="2">
                  <c:v>19.9544</c:v>
                </c:pt>
                <c:pt idx="3">
                  <c:v>19.9784</c:v>
                </c:pt>
                <c:pt idx="4">
                  <c:v>19.9953</c:v>
                </c:pt>
                <c:pt idx="5">
                  <c:v>19.9879</c:v>
                </c:pt>
                <c:pt idx="6">
                  <c:v>19.979</c:v>
                </c:pt>
                <c:pt idx="7">
                  <c:v>19.9988</c:v>
                </c:pt>
                <c:pt idx="8">
                  <c:v>19.9948</c:v>
                </c:pt>
                <c:pt idx="9">
                  <c:v>19.993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957947"/>
        <c:axId val="79575925"/>
      </c:lineChart>
      <c:catAx>
        <c:axId val="499579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Jumlah Task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75925"/>
        <c:crosses val="autoZero"/>
        <c:auto val="1"/>
        <c:lblAlgn val="ctr"/>
        <c:lblOffset val="100"/>
        <c:noMultiLvlLbl val="0"/>
      </c:catAx>
      <c:valAx>
        <c:axId val="7957592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VM Utilization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579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8</xdr:col>
      <xdr:colOff>273240</xdr:colOff>
      <xdr:row>16</xdr:row>
      <xdr:rowOff>2520</xdr:rowOff>
    </xdr:to>
    <xdr:graphicFrame>
      <xdr:nvGraphicFramePr>
        <xdr:cNvPr id="0" name="Chart 1"/>
        <xdr:cNvGraphicFramePr/>
      </xdr:nvGraphicFramePr>
      <xdr:xfrm>
        <a:off x="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18</xdr:col>
      <xdr:colOff>507600</xdr:colOff>
      <xdr:row>16</xdr:row>
      <xdr:rowOff>2520</xdr:rowOff>
    </xdr:to>
    <xdr:graphicFrame>
      <xdr:nvGraphicFramePr>
        <xdr:cNvPr id="1" name="Chart 2"/>
        <xdr:cNvGraphicFramePr/>
      </xdr:nvGraphicFramePr>
      <xdr:xfrm>
        <a:off x="634932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17</xdr:row>
      <xdr:rowOff>160560</xdr:rowOff>
    </xdr:from>
    <xdr:to>
      <xdr:col>8</xdr:col>
      <xdr:colOff>273240</xdr:colOff>
      <xdr:row>32</xdr:row>
      <xdr:rowOff>2880</xdr:rowOff>
    </xdr:to>
    <xdr:graphicFrame>
      <xdr:nvGraphicFramePr>
        <xdr:cNvPr id="2" name="Chart 3"/>
        <xdr:cNvGraphicFramePr/>
      </xdr:nvGraphicFramePr>
      <xdr:xfrm>
        <a:off x="0" y="3429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17</xdr:row>
      <xdr:rowOff>160560</xdr:rowOff>
    </xdr:from>
    <xdr:to>
      <xdr:col>18</xdr:col>
      <xdr:colOff>507600</xdr:colOff>
      <xdr:row>32</xdr:row>
      <xdr:rowOff>2880</xdr:rowOff>
    </xdr:to>
    <xdr:graphicFrame>
      <xdr:nvGraphicFramePr>
        <xdr:cNvPr id="3" name="Chart 4"/>
        <xdr:cNvGraphicFramePr/>
      </xdr:nvGraphicFramePr>
      <xdr:xfrm>
        <a:off x="6349320" y="3429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33</xdr:row>
      <xdr:rowOff>160920</xdr:rowOff>
    </xdr:from>
    <xdr:to>
      <xdr:col>8</xdr:col>
      <xdr:colOff>273240</xdr:colOff>
      <xdr:row>48</xdr:row>
      <xdr:rowOff>2880</xdr:rowOff>
    </xdr:to>
    <xdr:graphicFrame>
      <xdr:nvGraphicFramePr>
        <xdr:cNvPr id="4" name="Chart 5"/>
        <xdr:cNvGraphicFramePr/>
      </xdr:nvGraphicFramePr>
      <xdr:xfrm>
        <a:off x="0" y="6477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54</xdr:row>
      <xdr:rowOff>130680</xdr:rowOff>
    </xdr:from>
    <xdr:to>
      <xdr:col>8</xdr:col>
      <xdr:colOff>273240</xdr:colOff>
      <xdr:row>68</xdr:row>
      <xdr:rowOff>163440</xdr:rowOff>
    </xdr:to>
    <xdr:graphicFrame>
      <xdr:nvGraphicFramePr>
        <xdr:cNvPr id="5" name="Chart 6"/>
        <xdr:cNvGraphicFramePr/>
      </xdr:nvGraphicFramePr>
      <xdr:xfrm>
        <a:off x="0" y="10477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0</xdr:colOff>
      <xdr:row>54</xdr:row>
      <xdr:rowOff>130680</xdr:rowOff>
    </xdr:from>
    <xdr:to>
      <xdr:col>18</xdr:col>
      <xdr:colOff>507600</xdr:colOff>
      <xdr:row>68</xdr:row>
      <xdr:rowOff>163440</xdr:rowOff>
    </xdr:to>
    <xdr:graphicFrame>
      <xdr:nvGraphicFramePr>
        <xdr:cNvPr id="6" name="Chart 7"/>
        <xdr:cNvGraphicFramePr/>
      </xdr:nvGraphicFramePr>
      <xdr:xfrm>
        <a:off x="6349320" y="10477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70</xdr:row>
      <xdr:rowOff>131040</xdr:rowOff>
    </xdr:from>
    <xdr:to>
      <xdr:col>8</xdr:col>
      <xdr:colOff>273240</xdr:colOff>
      <xdr:row>84</xdr:row>
      <xdr:rowOff>163440</xdr:rowOff>
    </xdr:to>
    <xdr:graphicFrame>
      <xdr:nvGraphicFramePr>
        <xdr:cNvPr id="7" name="Chart 8"/>
        <xdr:cNvGraphicFramePr/>
      </xdr:nvGraphicFramePr>
      <xdr:xfrm>
        <a:off x="0" y="13525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0</xdr:colOff>
      <xdr:row>70</xdr:row>
      <xdr:rowOff>131040</xdr:rowOff>
    </xdr:from>
    <xdr:to>
      <xdr:col>18</xdr:col>
      <xdr:colOff>507600</xdr:colOff>
      <xdr:row>84</xdr:row>
      <xdr:rowOff>163440</xdr:rowOff>
    </xdr:to>
    <xdr:graphicFrame>
      <xdr:nvGraphicFramePr>
        <xdr:cNvPr id="8" name="Chart 9"/>
        <xdr:cNvGraphicFramePr/>
      </xdr:nvGraphicFramePr>
      <xdr:xfrm>
        <a:off x="6349320" y="13525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86</xdr:row>
      <xdr:rowOff>131040</xdr:rowOff>
    </xdr:from>
    <xdr:to>
      <xdr:col>8</xdr:col>
      <xdr:colOff>273240</xdr:colOff>
      <xdr:row>100</xdr:row>
      <xdr:rowOff>163800</xdr:rowOff>
    </xdr:to>
    <xdr:graphicFrame>
      <xdr:nvGraphicFramePr>
        <xdr:cNvPr id="9" name="Chart 10"/>
        <xdr:cNvGraphicFramePr/>
      </xdr:nvGraphicFramePr>
      <xdr:xfrm>
        <a:off x="0" y="16573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n">
        <v>100</v>
      </c>
      <c r="D2" s="2" t="n">
        <v>1</v>
      </c>
      <c r="E2" s="2" t="n">
        <v>100</v>
      </c>
      <c r="F2" s="2" t="n">
        <v>2703.81</v>
      </c>
      <c r="G2" s="2" t="n">
        <v>20</v>
      </c>
      <c r="H2" s="2" t="n">
        <v>1199.316</v>
      </c>
      <c r="I2" s="2" t="n">
        <v>0.037</v>
      </c>
      <c r="J2" s="2" t="n">
        <v>9.9929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n">
        <v>100</v>
      </c>
      <c r="D3" s="2" t="n">
        <v>2</v>
      </c>
      <c r="E3" s="2" t="n">
        <v>100</v>
      </c>
      <c r="F3" s="2" t="n">
        <v>2703.81</v>
      </c>
      <c r="G3" s="2" t="n">
        <v>20</v>
      </c>
      <c r="H3" s="2" t="n">
        <v>1199.316</v>
      </c>
      <c r="I3" s="2" t="n">
        <v>0.037</v>
      </c>
      <c r="J3" s="2" t="n">
        <v>9.9929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n">
        <v>100</v>
      </c>
      <c r="D4" s="2" t="n">
        <v>3</v>
      </c>
      <c r="E4" s="2" t="n">
        <v>100</v>
      </c>
      <c r="F4" s="2" t="n">
        <v>2703.81</v>
      </c>
      <c r="G4" s="2" t="n">
        <v>20</v>
      </c>
      <c r="H4" s="2" t="n">
        <v>1199.316</v>
      </c>
      <c r="I4" s="2" t="n">
        <v>0.037</v>
      </c>
      <c r="J4" s="2" t="n">
        <v>9.9929</v>
      </c>
    </row>
    <row r="5" customFormat="false" ht="15" hidden="false" customHeight="false" outlineLevel="0" collapsed="false">
      <c r="A5" s="2" t="s">
        <v>10</v>
      </c>
      <c r="B5" s="2" t="s">
        <v>12</v>
      </c>
      <c r="C5" s="2" t="n">
        <v>200</v>
      </c>
      <c r="D5" s="2" t="n">
        <v>1</v>
      </c>
      <c r="E5" s="2" t="n">
        <v>200</v>
      </c>
      <c r="F5" s="2" t="n">
        <v>2819.61</v>
      </c>
      <c r="G5" s="2" t="n">
        <v>20</v>
      </c>
      <c r="H5" s="2" t="n">
        <v>1415.346</v>
      </c>
      <c r="I5" s="2" t="n">
        <v>0.0709</v>
      </c>
      <c r="J5" s="2" t="n">
        <v>19.3073</v>
      </c>
    </row>
    <row r="6" customFormat="false" ht="15" hidden="false" customHeight="false" outlineLevel="0" collapsed="false">
      <c r="A6" s="2" t="s">
        <v>10</v>
      </c>
      <c r="B6" s="2" t="s">
        <v>12</v>
      </c>
      <c r="C6" s="2" t="n">
        <v>200</v>
      </c>
      <c r="D6" s="2" t="n">
        <v>2</v>
      </c>
      <c r="E6" s="2" t="n">
        <v>200</v>
      </c>
      <c r="F6" s="2" t="n">
        <v>2819.61</v>
      </c>
      <c r="G6" s="2" t="n">
        <v>20</v>
      </c>
      <c r="H6" s="2" t="n">
        <v>1415.346</v>
      </c>
      <c r="I6" s="2" t="n">
        <v>0.0709</v>
      </c>
      <c r="J6" s="2" t="n">
        <v>19.3073</v>
      </c>
    </row>
    <row r="7" customFormat="false" ht="15" hidden="false" customHeight="false" outlineLevel="0" collapsed="false">
      <c r="A7" s="2" t="s">
        <v>10</v>
      </c>
      <c r="B7" s="2" t="s">
        <v>12</v>
      </c>
      <c r="C7" s="2" t="n">
        <v>200</v>
      </c>
      <c r="D7" s="2" t="n">
        <v>3</v>
      </c>
      <c r="E7" s="2" t="n">
        <v>200</v>
      </c>
      <c r="F7" s="2" t="n">
        <v>2819.61</v>
      </c>
      <c r="G7" s="2" t="n">
        <v>20</v>
      </c>
      <c r="H7" s="2" t="n">
        <v>1415.346</v>
      </c>
      <c r="I7" s="2" t="n">
        <v>0.0709</v>
      </c>
      <c r="J7" s="2" t="n">
        <v>19.3073</v>
      </c>
    </row>
    <row r="8" customFormat="false" ht="15" hidden="false" customHeight="false" outlineLevel="0" collapsed="false">
      <c r="A8" s="2" t="s">
        <v>10</v>
      </c>
      <c r="B8" s="2" t="s">
        <v>13</v>
      </c>
      <c r="C8" s="2" t="n">
        <v>300</v>
      </c>
      <c r="D8" s="2" t="n">
        <v>1</v>
      </c>
      <c r="E8" s="2" t="n">
        <v>300</v>
      </c>
      <c r="F8" s="2" t="n">
        <v>7612.21</v>
      </c>
      <c r="G8" s="2" t="n">
        <v>20</v>
      </c>
      <c r="H8" s="2" t="n">
        <v>3653.2327</v>
      </c>
      <c r="I8" s="2" t="n">
        <v>0.0394</v>
      </c>
      <c r="J8" s="2" t="n">
        <v>10.9104</v>
      </c>
    </row>
    <row r="9" customFormat="false" ht="15" hidden="false" customHeight="false" outlineLevel="0" collapsed="false">
      <c r="A9" s="2" t="s">
        <v>10</v>
      </c>
      <c r="B9" s="2" t="s">
        <v>13</v>
      </c>
      <c r="C9" s="2" t="n">
        <v>300</v>
      </c>
      <c r="D9" s="2" t="n">
        <v>2</v>
      </c>
      <c r="E9" s="2" t="n">
        <v>300</v>
      </c>
      <c r="F9" s="2" t="n">
        <v>7612.21</v>
      </c>
      <c r="G9" s="2" t="n">
        <v>20</v>
      </c>
      <c r="H9" s="2" t="n">
        <v>3653.2327</v>
      </c>
      <c r="I9" s="2" t="n">
        <v>0.0394</v>
      </c>
      <c r="J9" s="2" t="n">
        <v>10.9104</v>
      </c>
    </row>
    <row r="10" customFormat="false" ht="15" hidden="false" customHeight="false" outlineLevel="0" collapsed="false">
      <c r="A10" s="2" t="s">
        <v>10</v>
      </c>
      <c r="B10" s="2" t="s">
        <v>13</v>
      </c>
      <c r="C10" s="2" t="n">
        <v>300</v>
      </c>
      <c r="D10" s="2" t="n">
        <v>3</v>
      </c>
      <c r="E10" s="2" t="n">
        <v>300</v>
      </c>
      <c r="F10" s="2" t="n">
        <v>7612.21</v>
      </c>
      <c r="G10" s="2" t="n">
        <v>20</v>
      </c>
      <c r="H10" s="2" t="n">
        <v>3653.2327</v>
      </c>
      <c r="I10" s="2" t="n">
        <v>0.0394</v>
      </c>
      <c r="J10" s="2" t="n">
        <v>10.9104</v>
      </c>
    </row>
    <row r="11" customFormat="false" ht="15" hidden="false" customHeight="false" outlineLevel="0" collapsed="false">
      <c r="A11" s="2" t="s">
        <v>10</v>
      </c>
      <c r="B11" s="2" t="s">
        <v>14</v>
      </c>
      <c r="C11" s="2" t="n">
        <v>400</v>
      </c>
      <c r="D11" s="2" t="n">
        <v>1</v>
      </c>
      <c r="E11" s="2" t="n">
        <v>400</v>
      </c>
      <c r="F11" s="2" t="n">
        <v>18035.41</v>
      </c>
      <c r="G11" s="2" t="n">
        <v>20</v>
      </c>
      <c r="H11" s="2" t="n">
        <v>7746.8145</v>
      </c>
      <c r="I11" s="2" t="n">
        <v>0.0222</v>
      </c>
      <c r="J11" s="2" t="n">
        <v>5.752</v>
      </c>
    </row>
    <row r="12" customFormat="false" ht="15" hidden="false" customHeight="false" outlineLevel="0" collapsed="false">
      <c r="A12" s="2" t="s">
        <v>10</v>
      </c>
      <c r="B12" s="2" t="s">
        <v>14</v>
      </c>
      <c r="C12" s="2" t="n">
        <v>400</v>
      </c>
      <c r="D12" s="2" t="n">
        <v>2</v>
      </c>
      <c r="E12" s="2" t="n">
        <v>400</v>
      </c>
      <c r="F12" s="2" t="n">
        <v>18035.41</v>
      </c>
      <c r="G12" s="2" t="n">
        <v>20</v>
      </c>
      <c r="H12" s="2" t="n">
        <v>7746.8145</v>
      </c>
      <c r="I12" s="2" t="n">
        <v>0.0222</v>
      </c>
      <c r="J12" s="2" t="n">
        <v>5.752</v>
      </c>
    </row>
    <row r="13" customFormat="false" ht="15" hidden="false" customHeight="false" outlineLevel="0" collapsed="false">
      <c r="A13" s="2" t="s">
        <v>10</v>
      </c>
      <c r="B13" s="2" t="s">
        <v>14</v>
      </c>
      <c r="C13" s="2" t="n">
        <v>400</v>
      </c>
      <c r="D13" s="2" t="n">
        <v>3</v>
      </c>
      <c r="E13" s="2" t="n">
        <v>400</v>
      </c>
      <c r="F13" s="2" t="n">
        <v>18035.41</v>
      </c>
      <c r="G13" s="2" t="n">
        <v>20</v>
      </c>
      <c r="H13" s="2" t="n">
        <v>7746.8145</v>
      </c>
      <c r="I13" s="2" t="n">
        <v>0.0222</v>
      </c>
      <c r="J13" s="2" t="n">
        <v>5.752</v>
      </c>
    </row>
    <row r="14" customFormat="false" ht="15" hidden="false" customHeight="false" outlineLevel="0" collapsed="false">
      <c r="A14" s="2" t="s">
        <v>10</v>
      </c>
      <c r="B14" s="2" t="s">
        <v>15</v>
      </c>
      <c r="C14" s="2" t="n">
        <v>500</v>
      </c>
      <c r="D14" s="2" t="n">
        <v>1</v>
      </c>
      <c r="E14" s="2" t="n">
        <v>500</v>
      </c>
      <c r="F14" s="2" t="n">
        <v>6573.61</v>
      </c>
      <c r="G14" s="2" t="n">
        <v>20</v>
      </c>
      <c r="H14" s="2" t="n">
        <v>3204.81</v>
      </c>
      <c r="I14" s="2" t="n">
        <v>0.0761</v>
      </c>
      <c r="J14" s="2" t="n">
        <v>19.7765</v>
      </c>
    </row>
    <row r="15" customFormat="false" ht="15" hidden="false" customHeight="false" outlineLevel="0" collapsed="false">
      <c r="A15" s="2" t="s">
        <v>10</v>
      </c>
      <c r="B15" s="2" t="s">
        <v>15</v>
      </c>
      <c r="C15" s="2" t="n">
        <v>500</v>
      </c>
      <c r="D15" s="2" t="n">
        <v>2</v>
      </c>
      <c r="E15" s="2" t="n">
        <v>500</v>
      </c>
      <c r="F15" s="2" t="n">
        <v>6573.61</v>
      </c>
      <c r="G15" s="2" t="n">
        <v>20</v>
      </c>
      <c r="H15" s="2" t="n">
        <v>3204.81</v>
      </c>
      <c r="I15" s="2" t="n">
        <v>0.0761</v>
      </c>
      <c r="J15" s="2" t="n">
        <v>19.7765</v>
      </c>
    </row>
    <row r="16" customFormat="false" ht="15" hidden="false" customHeight="false" outlineLevel="0" collapsed="false">
      <c r="A16" s="2" t="s">
        <v>10</v>
      </c>
      <c r="B16" s="2" t="s">
        <v>15</v>
      </c>
      <c r="C16" s="2" t="n">
        <v>500</v>
      </c>
      <c r="D16" s="2" t="n">
        <v>3</v>
      </c>
      <c r="E16" s="2" t="n">
        <v>500</v>
      </c>
      <c r="F16" s="2" t="n">
        <v>6573.61</v>
      </c>
      <c r="G16" s="2" t="n">
        <v>20</v>
      </c>
      <c r="H16" s="2" t="n">
        <v>3204.81</v>
      </c>
      <c r="I16" s="2" t="n">
        <v>0.0761</v>
      </c>
      <c r="J16" s="2" t="n">
        <v>19.7765</v>
      </c>
    </row>
    <row r="17" customFormat="false" ht="15" hidden="false" customHeight="false" outlineLevel="0" collapsed="false">
      <c r="A17" s="2" t="s">
        <v>10</v>
      </c>
      <c r="B17" s="2" t="s">
        <v>16</v>
      </c>
      <c r="C17" s="2" t="n">
        <v>600</v>
      </c>
      <c r="D17" s="2" t="n">
        <v>1</v>
      </c>
      <c r="E17" s="2" t="n">
        <v>600</v>
      </c>
      <c r="F17" s="2" t="n">
        <v>15021.41</v>
      </c>
      <c r="G17" s="2" t="n">
        <v>20</v>
      </c>
      <c r="H17" s="2" t="n">
        <v>6734.208</v>
      </c>
      <c r="I17" s="2" t="n">
        <v>0.0399</v>
      </c>
      <c r="J17" s="2" t="n">
        <v>10.9632</v>
      </c>
    </row>
    <row r="18" customFormat="false" ht="15" hidden="false" customHeight="false" outlineLevel="0" collapsed="false">
      <c r="A18" s="2" t="s">
        <v>10</v>
      </c>
      <c r="B18" s="2" t="s">
        <v>16</v>
      </c>
      <c r="C18" s="2" t="n">
        <v>600</v>
      </c>
      <c r="D18" s="2" t="n">
        <v>2</v>
      </c>
      <c r="E18" s="2" t="n">
        <v>600</v>
      </c>
      <c r="F18" s="2" t="n">
        <v>15021.41</v>
      </c>
      <c r="G18" s="2" t="n">
        <v>20</v>
      </c>
      <c r="H18" s="2" t="n">
        <v>6734.208</v>
      </c>
      <c r="I18" s="2" t="n">
        <v>0.0399</v>
      </c>
      <c r="J18" s="2" t="n">
        <v>10.9632</v>
      </c>
    </row>
    <row r="19" customFormat="false" ht="15" hidden="false" customHeight="false" outlineLevel="0" collapsed="false">
      <c r="A19" s="2" t="s">
        <v>10</v>
      </c>
      <c r="B19" s="2" t="s">
        <v>16</v>
      </c>
      <c r="C19" s="2" t="n">
        <v>600</v>
      </c>
      <c r="D19" s="2" t="n">
        <v>3</v>
      </c>
      <c r="E19" s="2" t="n">
        <v>600</v>
      </c>
      <c r="F19" s="2" t="n">
        <v>15021.41</v>
      </c>
      <c r="G19" s="2" t="n">
        <v>20</v>
      </c>
      <c r="H19" s="2" t="n">
        <v>6734.208</v>
      </c>
      <c r="I19" s="2" t="n">
        <v>0.0399</v>
      </c>
      <c r="J19" s="2" t="n">
        <v>10.9632</v>
      </c>
    </row>
    <row r="20" customFormat="false" ht="15" hidden="false" customHeight="false" outlineLevel="0" collapsed="false">
      <c r="A20" s="2" t="s">
        <v>10</v>
      </c>
      <c r="B20" s="2" t="s">
        <v>17</v>
      </c>
      <c r="C20" s="2" t="n">
        <v>700</v>
      </c>
      <c r="D20" s="2" t="n">
        <v>1</v>
      </c>
      <c r="E20" s="2" t="n">
        <v>700</v>
      </c>
      <c r="F20" s="2" t="n">
        <v>11927.01</v>
      </c>
      <c r="G20" s="2" t="n">
        <v>20</v>
      </c>
      <c r="H20" s="2" t="n">
        <v>5294.5951</v>
      </c>
      <c r="I20" s="2" t="n">
        <v>0.0587</v>
      </c>
      <c r="J20" s="2" t="n">
        <v>14.6715</v>
      </c>
    </row>
    <row r="21" customFormat="false" ht="15" hidden="false" customHeight="false" outlineLevel="0" collapsed="false">
      <c r="A21" s="2" t="s">
        <v>10</v>
      </c>
      <c r="B21" s="2" t="s">
        <v>17</v>
      </c>
      <c r="C21" s="2" t="n">
        <v>700</v>
      </c>
      <c r="D21" s="2" t="n">
        <v>2</v>
      </c>
      <c r="E21" s="2" t="n">
        <v>700</v>
      </c>
      <c r="F21" s="2" t="n">
        <v>11927.01</v>
      </c>
      <c r="G21" s="2" t="n">
        <v>20</v>
      </c>
      <c r="H21" s="2" t="n">
        <v>5294.5951</v>
      </c>
      <c r="I21" s="2" t="n">
        <v>0.0587</v>
      </c>
      <c r="J21" s="2" t="n">
        <v>14.6715</v>
      </c>
    </row>
    <row r="22" customFormat="false" ht="15" hidden="false" customHeight="false" outlineLevel="0" collapsed="false">
      <c r="A22" s="2" t="s">
        <v>10</v>
      </c>
      <c r="B22" s="2" t="s">
        <v>17</v>
      </c>
      <c r="C22" s="2" t="n">
        <v>700</v>
      </c>
      <c r="D22" s="2" t="n">
        <v>3</v>
      </c>
      <c r="E22" s="2" t="n">
        <v>700</v>
      </c>
      <c r="F22" s="2" t="n">
        <v>11927.01</v>
      </c>
      <c r="G22" s="2" t="n">
        <v>20</v>
      </c>
      <c r="H22" s="2" t="n">
        <v>5294.5951</v>
      </c>
      <c r="I22" s="2" t="n">
        <v>0.0587</v>
      </c>
      <c r="J22" s="2" t="n">
        <v>14.6715</v>
      </c>
    </row>
    <row r="23" customFormat="false" ht="15" hidden="false" customHeight="false" outlineLevel="0" collapsed="false">
      <c r="A23" s="2" t="s">
        <v>10</v>
      </c>
      <c r="B23" s="2" t="s">
        <v>18</v>
      </c>
      <c r="C23" s="2" t="n">
        <v>800</v>
      </c>
      <c r="D23" s="2" t="n">
        <v>1</v>
      </c>
      <c r="E23" s="2" t="n">
        <v>800</v>
      </c>
      <c r="F23" s="2" t="n">
        <v>27485.21</v>
      </c>
      <c r="G23" s="2" t="n">
        <v>20</v>
      </c>
      <c r="H23" s="2" t="n">
        <v>11212.0375</v>
      </c>
      <c r="I23" s="2" t="n">
        <v>0.0291</v>
      </c>
      <c r="J23" s="2" t="n">
        <v>7.2008</v>
      </c>
    </row>
    <row r="24" customFormat="false" ht="15" hidden="false" customHeight="false" outlineLevel="0" collapsed="false">
      <c r="A24" s="2" t="s">
        <v>10</v>
      </c>
      <c r="B24" s="2" t="s">
        <v>18</v>
      </c>
      <c r="C24" s="2" t="n">
        <v>800</v>
      </c>
      <c r="D24" s="2" t="n">
        <v>2</v>
      </c>
      <c r="E24" s="2" t="n">
        <v>800</v>
      </c>
      <c r="F24" s="2" t="n">
        <v>27485.21</v>
      </c>
      <c r="G24" s="2" t="n">
        <v>20</v>
      </c>
      <c r="H24" s="2" t="n">
        <v>11212.0375</v>
      </c>
      <c r="I24" s="2" t="n">
        <v>0.0291</v>
      </c>
      <c r="J24" s="2" t="n">
        <v>7.2008</v>
      </c>
    </row>
    <row r="25" customFormat="false" ht="15" hidden="false" customHeight="false" outlineLevel="0" collapsed="false">
      <c r="A25" s="2" t="s">
        <v>10</v>
      </c>
      <c r="B25" s="2" t="s">
        <v>18</v>
      </c>
      <c r="C25" s="2" t="n">
        <v>800</v>
      </c>
      <c r="D25" s="2" t="n">
        <v>3</v>
      </c>
      <c r="E25" s="2" t="n">
        <v>800</v>
      </c>
      <c r="F25" s="2" t="n">
        <v>27485.21</v>
      </c>
      <c r="G25" s="2" t="n">
        <v>20</v>
      </c>
      <c r="H25" s="2" t="n">
        <v>11212.0375</v>
      </c>
      <c r="I25" s="2" t="n">
        <v>0.0291</v>
      </c>
      <c r="J25" s="2" t="n">
        <v>7.2008</v>
      </c>
    </row>
    <row r="26" customFormat="false" ht="15" hidden="false" customHeight="false" outlineLevel="0" collapsed="false">
      <c r="A26" s="2" t="s">
        <v>10</v>
      </c>
      <c r="B26" s="2" t="s">
        <v>19</v>
      </c>
      <c r="C26" s="2" t="n">
        <v>900</v>
      </c>
      <c r="D26" s="2" t="n">
        <v>1</v>
      </c>
      <c r="E26" s="2" t="n">
        <v>900</v>
      </c>
      <c r="F26" s="2" t="n">
        <v>32757.81</v>
      </c>
      <c r="G26" s="2" t="n">
        <v>20</v>
      </c>
      <c r="H26" s="2" t="n">
        <v>12056.4467</v>
      </c>
      <c r="I26" s="2" t="n">
        <v>0.0275</v>
      </c>
      <c r="J26" s="2" t="n">
        <v>7.3294</v>
      </c>
    </row>
    <row r="27" customFormat="false" ht="15" hidden="false" customHeight="false" outlineLevel="0" collapsed="false">
      <c r="A27" s="2" t="s">
        <v>10</v>
      </c>
      <c r="B27" s="2" t="s">
        <v>19</v>
      </c>
      <c r="C27" s="2" t="n">
        <v>900</v>
      </c>
      <c r="D27" s="2" t="n">
        <v>2</v>
      </c>
      <c r="E27" s="2" t="n">
        <v>900</v>
      </c>
      <c r="F27" s="2" t="n">
        <v>32757.81</v>
      </c>
      <c r="G27" s="2" t="n">
        <v>20</v>
      </c>
      <c r="H27" s="2" t="n">
        <v>12056.4467</v>
      </c>
      <c r="I27" s="2" t="n">
        <v>0.0275</v>
      </c>
      <c r="J27" s="2" t="n">
        <v>7.3294</v>
      </c>
    </row>
    <row r="28" customFormat="false" ht="15" hidden="false" customHeight="false" outlineLevel="0" collapsed="false">
      <c r="A28" s="2" t="s">
        <v>10</v>
      </c>
      <c r="B28" s="2" t="s">
        <v>19</v>
      </c>
      <c r="C28" s="2" t="n">
        <v>900</v>
      </c>
      <c r="D28" s="2" t="n">
        <v>3</v>
      </c>
      <c r="E28" s="2" t="n">
        <v>900</v>
      </c>
      <c r="F28" s="2" t="n">
        <v>32757.81</v>
      </c>
      <c r="G28" s="2" t="n">
        <v>20</v>
      </c>
      <c r="H28" s="2" t="n">
        <v>12056.4467</v>
      </c>
      <c r="I28" s="2" t="n">
        <v>0.0275</v>
      </c>
      <c r="J28" s="2" t="n">
        <v>7.3294</v>
      </c>
    </row>
    <row r="29" customFormat="false" ht="15" hidden="false" customHeight="false" outlineLevel="0" collapsed="false">
      <c r="A29" s="2" t="s">
        <v>10</v>
      </c>
      <c r="B29" s="2" t="s">
        <v>20</v>
      </c>
      <c r="C29" s="2" t="n">
        <v>1000</v>
      </c>
      <c r="D29" s="2" t="n">
        <v>1</v>
      </c>
      <c r="E29" s="2" t="n">
        <v>1000</v>
      </c>
      <c r="F29" s="2" t="n">
        <v>22779.81</v>
      </c>
      <c r="G29" s="2" t="n">
        <v>20</v>
      </c>
      <c r="H29" s="2" t="n">
        <v>8748.2664</v>
      </c>
      <c r="I29" s="2" t="n">
        <v>0.0439</v>
      </c>
      <c r="J29" s="2" t="n">
        <v>11.3839</v>
      </c>
    </row>
    <row r="30" customFormat="false" ht="15" hidden="false" customHeight="false" outlineLevel="0" collapsed="false">
      <c r="A30" s="2" t="s">
        <v>10</v>
      </c>
      <c r="B30" s="2" t="s">
        <v>20</v>
      </c>
      <c r="C30" s="2" t="n">
        <v>1000</v>
      </c>
      <c r="D30" s="2" t="n">
        <v>2</v>
      </c>
      <c r="E30" s="2" t="n">
        <v>1000</v>
      </c>
      <c r="F30" s="2" t="n">
        <v>22779.81</v>
      </c>
      <c r="G30" s="2" t="n">
        <v>20</v>
      </c>
      <c r="H30" s="2" t="n">
        <v>8748.2664</v>
      </c>
      <c r="I30" s="2" t="n">
        <v>0.0439</v>
      </c>
      <c r="J30" s="2" t="n">
        <v>11.3839</v>
      </c>
    </row>
    <row r="31" customFormat="false" ht="15" hidden="false" customHeight="false" outlineLevel="0" collapsed="false">
      <c r="A31" s="2" t="s">
        <v>10</v>
      </c>
      <c r="B31" s="2" t="s">
        <v>20</v>
      </c>
      <c r="C31" s="2" t="n">
        <v>1000</v>
      </c>
      <c r="D31" s="2" t="n">
        <v>3</v>
      </c>
      <c r="E31" s="2" t="n">
        <v>1000</v>
      </c>
      <c r="F31" s="2" t="n">
        <v>22779.81</v>
      </c>
      <c r="G31" s="2" t="n">
        <v>20</v>
      </c>
      <c r="H31" s="2" t="n">
        <v>8748.2664</v>
      </c>
      <c r="I31" s="2" t="n">
        <v>0.0439</v>
      </c>
      <c r="J31" s="2" t="n">
        <v>11.3839</v>
      </c>
    </row>
    <row r="32" customFormat="false" ht="15" hidden="false" customHeight="false" outlineLevel="0" collapsed="false">
      <c r="A32" s="2" t="s">
        <v>21</v>
      </c>
      <c r="B32" s="2" t="s">
        <v>22</v>
      </c>
      <c r="C32" s="2" t="n">
        <v>1000</v>
      </c>
      <c r="D32" s="2" t="n">
        <v>1</v>
      </c>
      <c r="E32" s="2" t="n">
        <v>1000</v>
      </c>
      <c r="F32" s="2" t="n">
        <v>18697.8676</v>
      </c>
      <c r="G32" s="2" t="n">
        <v>20</v>
      </c>
      <c r="H32" s="2" t="n">
        <v>9187.692</v>
      </c>
      <c r="I32" s="2" t="n">
        <v>0.0535</v>
      </c>
      <c r="J32" s="2" t="n">
        <v>19.926</v>
      </c>
    </row>
    <row r="33" customFormat="false" ht="15" hidden="false" customHeight="false" outlineLevel="0" collapsed="false">
      <c r="A33" s="2" t="s">
        <v>21</v>
      </c>
      <c r="B33" s="2" t="s">
        <v>22</v>
      </c>
      <c r="C33" s="2" t="n">
        <v>1000</v>
      </c>
      <c r="D33" s="2" t="n">
        <v>2</v>
      </c>
      <c r="E33" s="2" t="n">
        <v>1000</v>
      </c>
      <c r="F33" s="2" t="n">
        <v>18697.8676</v>
      </c>
      <c r="G33" s="2" t="n">
        <v>20</v>
      </c>
      <c r="H33" s="2" t="n">
        <v>9187.692</v>
      </c>
      <c r="I33" s="2" t="n">
        <v>0.0535</v>
      </c>
      <c r="J33" s="2" t="n">
        <v>19.926</v>
      </c>
    </row>
    <row r="34" customFormat="false" ht="15" hidden="false" customHeight="false" outlineLevel="0" collapsed="false">
      <c r="A34" s="2" t="s">
        <v>21</v>
      </c>
      <c r="B34" s="2" t="s">
        <v>22</v>
      </c>
      <c r="C34" s="2" t="n">
        <v>1000</v>
      </c>
      <c r="D34" s="2" t="n">
        <v>3</v>
      </c>
      <c r="E34" s="2" t="n">
        <v>1000</v>
      </c>
      <c r="F34" s="2" t="n">
        <v>18697.8676</v>
      </c>
      <c r="G34" s="2" t="n">
        <v>20</v>
      </c>
      <c r="H34" s="2" t="n">
        <v>9187.692</v>
      </c>
      <c r="I34" s="2" t="n">
        <v>0.0535</v>
      </c>
      <c r="J34" s="2" t="n">
        <v>19.926</v>
      </c>
    </row>
    <row r="35" customFormat="false" ht="15" hidden="false" customHeight="false" outlineLevel="0" collapsed="false">
      <c r="A35" s="2" t="s">
        <v>21</v>
      </c>
      <c r="B35" s="2" t="s">
        <v>23</v>
      </c>
      <c r="C35" s="2" t="n">
        <v>2000</v>
      </c>
      <c r="D35" s="2" t="n">
        <v>1</v>
      </c>
      <c r="E35" s="2" t="n">
        <v>2000</v>
      </c>
      <c r="F35" s="2" t="n">
        <v>37392.9544</v>
      </c>
      <c r="G35" s="2" t="n">
        <v>20</v>
      </c>
      <c r="H35" s="2" t="n">
        <v>18707.5826</v>
      </c>
      <c r="I35" s="2" t="n">
        <v>0.0535</v>
      </c>
      <c r="J35" s="2" t="n">
        <v>19.9101</v>
      </c>
    </row>
    <row r="36" customFormat="false" ht="15" hidden="false" customHeight="false" outlineLevel="0" collapsed="false">
      <c r="A36" s="2" t="s">
        <v>21</v>
      </c>
      <c r="B36" s="2" t="s">
        <v>23</v>
      </c>
      <c r="C36" s="2" t="n">
        <v>2000</v>
      </c>
      <c r="D36" s="2" t="n">
        <v>2</v>
      </c>
      <c r="E36" s="2" t="n">
        <v>2000</v>
      </c>
      <c r="F36" s="2" t="n">
        <v>37392.9544</v>
      </c>
      <c r="G36" s="2" t="n">
        <v>20</v>
      </c>
      <c r="H36" s="2" t="n">
        <v>18707.5826</v>
      </c>
      <c r="I36" s="2" t="n">
        <v>0.0535</v>
      </c>
      <c r="J36" s="2" t="n">
        <v>19.9101</v>
      </c>
    </row>
    <row r="37" customFormat="false" ht="15" hidden="false" customHeight="false" outlineLevel="0" collapsed="false">
      <c r="A37" s="2" t="s">
        <v>21</v>
      </c>
      <c r="B37" s="2" t="s">
        <v>23</v>
      </c>
      <c r="C37" s="2" t="n">
        <v>2000</v>
      </c>
      <c r="D37" s="2" t="n">
        <v>3</v>
      </c>
      <c r="E37" s="2" t="n">
        <v>2000</v>
      </c>
      <c r="F37" s="2" t="n">
        <v>37392.9544</v>
      </c>
      <c r="G37" s="2" t="n">
        <v>20</v>
      </c>
      <c r="H37" s="2" t="n">
        <v>18707.5826</v>
      </c>
      <c r="I37" s="2" t="n">
        <v>0.0535</v>
      </c>
      <c r="J37" s="2" t="n">
        <v>19.9101</v>
      </c>
    </row>
    <row r="38" customFormat="false" ht="15" hidden="false" customHeight="false" outlineLevel="0" collapsed="false">
      <c r="A38" s="2" t="s">
        <v>21</v>
      </c>
      <c r="B38" s="2" t="s">
        <v>24</v>
      </c>
      <c r="C38" s="2" t="n">
        <v>3000</v>
      </c>
      <c r="D38" s="2" t="n">
        <v>1</v>
      </c>
      <c r="E38" s="2" t="n">
        <v>3000</v>
      </c>
      <c r="F38" s="2" t="n">
        <v>55813.8372</v>
      </c>
      <c r="G38" s="2" t="n">
        <v>20</v>
      </c>
      <c r="H38" s="2" t="n">
        <v>27481.9951</v>
      </c>
      <c r="I38" s="2" t="n">
        <v>0.0538</v>
      </c>
      <c r="J38" s="2" t="n">
        <v>19.9544</v>
      </c>
    </row>
    <row r="39" customFormat="false" ht="15" hidden="false" customHeight="false" outlineLevel="0" collapsed="false">
      <c r="A39" s="2" t="s">
        <v>21</v>
      </c>
      <c r="B39" s="2" t="s">
        <v>24</v>
      </c>
      <c r="C39" s="2" t="n">
        <v>3000</v>
      </c>
      <c r="D39" s="2" t="n">
        <v>2</v>
      </c>
      <c r="E39" s="2" t="n">
        <v>3000</v>
      </c>
      <c r="F39" s="2" t="n">
        <v>55813.8372</v>
      </c>
      <c r="G39" s="2" t="n">
        <v>20</v>
      </c>
      <c r="H39" s="2" t="n">
        <v>27481.9951</v>
      </c>
      <c r="I39" s="2" t="n">
        <v>0.0538</v>
      </c>
      <c r="J39" s="2" t="n">
        <v>19.9544</v>
      </c>
    </row>
    <row r="40" customFormat="false" ht="15" hidden="false" customHeight="false" outlineLevel="0" collapsed="false">
      <c r="A40" s="2" t="s">
        <v>21</v>
      </c>
      <c r="B40" s="2" t="s">
        <v>24</v>
      </c>
      <c r="C40" s="2" t="n">
        <v>3000</v>
      </c>
      <c r="D40" s="2" t="n">
        <v>3</v>
      </c>
      <c r="E40" s="2" t="n">
        <v>3000</v>
      </c>
      <c r="F40" s="2" t="n">
        <v>55813.8372</v>
      </c>
      <c r="G40" s="2" t="n">
        <v>20</v>
      </c>
      <c r="H40" s="2" t="n">
        <v>27481.9951</v>
      </c>
      <c r="I40" s="2" t="n">
        <v>0.0538</v>
      </c>
      <c r="J40" s="2" t="n">
        <v>19.9544</v>
      </c>
    </row>
    <row r="41" customFormat="false" ht="15" hidden="false" customHeight="false" outlineLevel="0" collapsed="false">
      <c r="A41" s="2" t="s">
        <v>21</v>
      </c>
      <c r="B41" s="2" t="s">
        <v>25</v>
      </c>
      <c r="C41" s="2" t="n">
        <v>4000</v>
      </c>
      <c r="D41" s="2" t="n">
        <v>1</v>
      </c>
      <c r="E41" s="2" t="n">
        <v>4000</v>
      </c>
      <c r="F41" s="2" t="n">
        <v>73713.864</v>
      </c>
      <c r="G41" s="2" t="n">
        <v>20</v>
      </c>
      <c r="H41" s="2" t="n">
        <v>36027.1377</v>
      </c>
      <c r="I41" s="2" t="n">
        <v>0.0543</v>
      </c>
      <c r="J41" s="2" t="n">
        <v>19.9784</v>
      </c>
    </row>
    <row r="42" customFormat="false" ht="15" hidden="false" customHeight="false" outlineLevel="0" collapsed="false">
      <c r="A42" s="2" t="s">
        <v>21</v>
      </c>
      <c r="B42" s="2" t="s">
        <v>25</v>
      </c>
      <c r="C42" s="2" t="n">
        <v>4000</v>
      </c>
      <c r="D42" s="2" t="n">
        <v>2</v>
      </c>
      <c r="E42" s="2" t="n">
        <v>4000</v>
      </c>
      <c r="F42" s="2" t="n">
        <v>73713.864</v>
      </c>
      <c r="G42" s="2" t="n">
        <v>20</v>
      </c>
      <c r="H42" s="2" t="n">
        <v>36027.1377</v>
      </c>
      <c r="I42" s="2" t="n">
        <v>0.0543</v>
      </c>
      <c r="J42" s="2" t="n">
        <v>19.9784</v>
      </c>
    </row>
    <row r="43" customFormat="false" ht="15" hidden="false" customHeight="false" outlineLevel="0" collapsed="false">
      <c r="A43" s="2" t="s">
        <v>21</v>
      </c>
      <c r="B43" s="2" t="s">
        <v>25</v>
      </c>
      <c r="C43" s="2" t="n">
        <v>4000</v>
      </c>
      <c r="D43" s="2" t="n">
        <v>3</v>
      </c>
      <c r="E43" s="2" t="n">
        <v>4000</v>
      </c>
      <c r="F43" s="2" t="n">
        <v>73713.864</v>
      </c>
      <c r="G43" s="2" t="n">
        <v>20</v>
      </c>
      <c r="H43" s="2" t="n">
        <v>36027.1377</v>
      </c>
      <c r="I43" s="2" t="n">
        <v>0.0543</v>
      </c>
      <c r="J43" s="2" t="n">
        <v>19.9784</v>
      </c>
    </row>
    <row r="44" customFormat="false" ht="15" hidden="false" customHeight="false" outlineLevel="0" collapsed="false">
      <c r="A44" s="2" t="s">
        <v>21</v>
      </c>
      <c r="B44" s="2" t="s">
        <v>26</v>
      </c>
      <c r="C44" s="2" t="n">
        <v>5000</v>
      </c>
      <c r="D44" s="2" t="n">
        <v>1</v>
      </c>
      <c r="E44" s="2" t="n">
        <v>5000</v>
      </c>
      <c r="F44" s="2" t="n">
        <v>92886.0948</v>
      </c>
      <c r="G44" s="2" t="n">
        <v>20</v>
      </c>
      <c r="H44" s="2" t="n">
        <v>46383.4689</v>
      </c>
      <c r="I44" s="2" t="n">
        <v>0.0538</v>
      </c>
      <c r="J44" s="2" t="n">
        <v>19.9953</v>
      </c>
    </row>
    <row r="45" customFormat="false" ht="15" hidden="false" customHeight="false" outlineLevel="0" collapsed="false">
      <c r="A45" s="2" t="s">
        <v>21</v>
      </c>
      <c r="B45" s="2" t="s">
        <v>26</v>
      </c>
      <c r="C45" s="2" t="n">
        <v>5000</v>
      </c>
      <c r="D45" s="2" t="n">
        <v>2</v>
      </c>
      <c r="E45" s="2" t="n">
        <v>5000</v>
      </c>
      <c r="F45" s="2" t="n">
        <v>92886.0948</v>
      </c>
      <c r="G45" s="2" t="n">
        <v>20</v>
      </c>
      <c r="H45" s="2" t="n">
        <v>46383.4689</v>
      </c>
      <c r="I45" s="2" t="n">
        <v>0.0538</v>
      </c>
      <c r="J45" s="2" t="n">
        <v>19.9953</v>
      </c>
    </row>
    <row r="46" customFormat="false" ht="15" hidden="false" customHeight="false" outlineLevel="0" collapsed="false">
      <c r="A46" s="2" t="s">
        <v>21</v>
      </c>
      <c r="B46" s="2" t="s">
        <v>26</v>
      </c>
      <c r="C46" s="2" t="n">
        <v>5000</v>
      </c>
      <c r="D46" s="2" t="n">
        <v>3</v>
      </c>
      <c r="E46" s="2" t="n">
        <v>5000</v>
      </c>
      <c r="F46" s="2" t="n">
        <v>92886.0948</v>
      </c>
      <c r="G46" s="2" t="n">
        <v>20</v>
      </c>
      <c r="H46" s="2" t="n">
        <v>46383.4689</v>
      </c>
      <c r="I46" s="2" t="n">
        <v>0.0538</v>
      </c>
      <c r="J46" s="2" t="n">
        <v>19.9953</v>
      </c>
    </row>
    <row r="47" customFormat="false" ht="15" hidden="false" customHeight="false" outlineLevel="0" collapsed="false">
      <c r="A47" s="2" t="s">
        <v>21</v>
      </c>
      <c r="B47" s="2" t="s">
        <v>27</v>
      </c>
      <c r="C47" s="2" t="n">
        <v>6000</v>
      </c>
      <c r="D47" s="2" t="n">
        <v>1</v>
      </c>
      <c r="E47" s="2" t="n">
        <v>6000</v>
      </c>
      <c r="F47" s="2" t="n">
        <v>111503.3932</v>
      </c>
      <c r="G47" s="2" t="n">
        <v>20</v>
      </c>
      <c r="H47" s="2" t="n">
        <v>55737.1555</v>
      </c>
      <c r="I47" s="2" t="n">
        <v>0.0538</v>
      </c>
      <c r="J47" s="2" t="n">
        <v>19.9879</v>
      </c>
    </row>
    <row r="48" customFormat="false" ht="15" hidden="false" customHeight="false" outlineLevel="0" collapsed="false">
      <c r="A48" s="2" t="s">
        <v>21</v>
      </c>
      <c r="B48" s="2" t="s">
        <v>27</v>
      </c>
      <c r="C48" s="2" t="n">
        <v>6000</v>
      </c>
      <c r="D48" s="2" t="n">
        <v>2</v>
      </c>
      <c r="E48" s="2" t="n">
        <v>6000</v>
      </c>
      <c r="F48" s="2" t="n">
        <v>111503.3932</v>
      </c>
      <c r="G48" s="2" t="n">
        <v>20</v>
      </c>
      <c r="H48" s="2" t="n">
        <v>55737.1555</v>
      </c>
      <c r="I48" s="2" t="n">
        <v>0.0538</v>
      </c>
      <c r="J48" s="2" t="n">
        <v>19.9879</v>
      </c>
    </row>
    <row r="49" customFormat="false" ht="15" hidden="false" customHeight="false" outlineLevel="0" collapsed="false">
      <c r="A49" s="2" t="s">
        <v>21</v>
      </c>
      <c r="B49" s="2" t="s">
        <v>27</v>
      </c>
      <c r="C49" s="2" t="n">
        <v>6000</v>
      </c>
      <c r="D49" s="2" t="n">
        <v>3</v>
      </c>
      <c r="E49" s="2" t="n">
        <v>6000</v>
      </c>
      <c r="F49" s="2" t="n">
        <v>111503.3932</v>
      </c>
      <c r="G49" s="2" t="n">
        <v>20</v>
      </c>
      <c r="H49" s="2" t="n">
        <v>55737.1555</v>
      </c>
      <c r="I49" s="2" t="n">
        <v>0.0538</v>
      </c>
      <c r="J49" s="2" t="n">
        <v>19.9879</v>
      </c>
    </row>
    <row r="50" customFormat="false" ht="15" hidden="false" customHeight="false" outlineLevel="0" collapsed="false">
      <c r="A50" s="2" t="s">
        <v>21</v>
      </c>
      <c r="B50" s="2" t="s">
        <v>28</v>
      </c>
      <c r="C50" s="2" t="n">
        <v>7000</v>
      </c>
      <c r="D50" s="2" t="n">
        <v>1</v>
      </c>
      <c r="E50" s="2" t="n">
        <v>7000</v>
      </c>
      <c r="F50" s="2" t="n">
        <v>130591.384</v>
      </c>
      <c r="G50" s="2" t="n">
        <v>20</v>
      </c>
      <c r="H50" s="2" t="n">
        <v>65521.7715</v>
      </c>
      <c r="I50" s="2" t="n">
        <v>0.0536</v>
      </c>
      <c r="J50" s="2" t="n">
        <v>19.979</v>
      </c>
    </row>
    <row r="51" customFormat="false" ht="15" hidden="false" customHeight="false" outlineLevel="0" collapsed="false">
      <c r="A51" s="2" t="s">
        <v>21</v>
      </c>
      <c r="B51" s="2" t="s">
        <v>28</v>
      </c>
      <c r="C51" s="2" t="n">
        <v>7000</v>
      </c>
      <c r="D51" s="2" t="n">
        <v>2</v>
      </c>
      <c r="E51" s="2" t="n">
        <v>7000</v>
      </c>
      <c r="F51" s="2" t="n">
        <v>130591.384</v>
      </c>
      <c r="G51" s="2" t="n">
        <v>20</v>
      </c>
      <c r="H51" s="2" t="n">
        <v>65521.7715</v>
      </c>
      <c r="I51" s="2" t="n">
        <v>0.0536</v>
      </c>
      <c r="J51" s="2" t="n">
        <v>19.979</v>
      </c>
    </row>
    <row r="52" customFormat="false" ht="15" hidden="false" customHeight="false" outlineLevel="0" collapsed="false">
      <c r="A52" s="2" t="s">
        <v>21</v>
      </c>
      <c r="B52" s="2" t="s">
        <v>28</v>
      </c>
      <c r="C52" s="2" t="n">
        <v>7000</v>
      </c>
      <c r="D52" s="2" t="n">
        <v>3</v>
      </c>
      <c r="E52" s="2" t="n">
        <v>7000</v>
      </c>
      <c r="F52" s="2" t="n">
        <v>130591.384</v>
      </c>
      <c r="G52" s="2" t="n">
        <v>20</v>
      </c>
      <c r="H52" s="2" t="n">
        <v>65521.7715</v>
      </c>
      <c r="I52" s="2" t="n">
        <v>0.0536</v>
      </c>
      <c r="J52" s="2" t="n">
        <v>19.979</v>
      </c>
    </row>
    <row r="53" customFormat="false" ht="15" hidden="false" customHeight="false" outlineLevel="0" collapsed="false">
      <c r="A53" s="2" t="s">
        <v>21</v>
      </c>
      <c r="B53" s="2" t="s">
        <v>29</v>
      </c>
      <c r="C53" s="2" t="n">
        <v>8000</v>
      </c>
      <c r="D53" s="2" t="n">
        <v>1</v>
      </c>
      <c r="E53" s="2" t="n">
        <v>8000</v>
      </c>
      <c r="F53" s="2" t="n">
        <v>148490.6976</v>
      </c>
      <c r="G53" s="2" t="n">
        <v>20</v>
      </c>
      <c r="H53" s="2" t="n">
        <v>74212.2587</v>
      </c>
      <c r="I53" s="2" t="n">
        <v>0.0539</v>
      </c>
      <c r="J53" s="2" t="n">
        <v>19.9988</v>
      </c>
    </row>
    <row r="54" customFormat="false" ht="15" hidden="false" customHeight="false" outlineLevel="0" collapsed="false">
      <c r="A54" s="2" t="s">
        <v>21</v>
      </c>
      <c r="B54" s="2" t="s">
        <v>29</v>
      </c>
      <c r="C54" s="2" t="n">
        <v>8000</v>
      </c>
      <c r="D54" s="2" t="n">
        <v>2</v>
      </c>
      <c r="E54" s="2" t="n">
        <v>8000</v>
      </c>
      <c r="F54" s="2" t="n">
        <v>148490.6976</v>
      </c>
      <c r="G54" s="2" t="n">
        <v>20</v>
      </c>
      <c r="H54" s="2" t="n">
        <v>74212.2587</v>
      </c>
      <c r="I54" s="2" t="n">
        <v>0.0539</v>
      </c>
      <c r="J54" s="2" t="n">
        <v>19.9988</v>
      </c>
    </row>
    <row r="55" customFormat="false" ht="15" hidden="false" customHeight="false" outlineLevel="0" collapsed="false">
      <c r="A55" s="2" t="s">
        <v>21</v>
      </c>
      <c r="B55" s="2" t="s">
        <v>29</v>
      </c>
      <c r="C55" s="2" t="n">
        <v>8000</v>
      </c>
      <c r="D55" s="2" t="n">
        <v>3</v>
      </c>
      <c r="E55" s="2" t="n">
        <v>8000</v>
      </c>
      <c r="F55" s="2" t="n">
        <v>148490.6976</v>
      </c>
      <c r="G55" s="2" t="n">
        <v>20</v>
      </c>
      <c r="H55" s="2" t="n">
        <v>74212.2587</v>
      </c>
      <c r="I55" s="2" t="n">
        <v>0.0539</v>
      </c>
      <c r="J55" s="2" t="n">
        <v>19.9988</v>
      </c>
    </row>
    <row r="56" customFormat="false" ht="15" hidden="false" customHeight="false" outlineLevel="0" collapsed="false">
      <c r="A56" s="2" t="s">
        <v>21</v>
      </c>
      <c r="B56" s="2" t="s">
        <v>30</v>
      </c>
      <c r="C56" s="2" t="n">
        <v>9000</v>
      </c>
      <c r="D56" s="2" t="n">
        <v>1</v>
      </c>
      <c r="E56" s="2" t="n">
        <v>9000</v>
      </c>
      <c r="F56" s="2" t="n">
        <v>166938.2828</v>
      </c>
      <c r="G56" s="2" t="n">
        <v>20</v>
      </c>
      <c r="H56" s="2" t="n">
        <v>82771.7851</v>
      </c>
      <c r="I56" s="2" t="n">
        <v>0.0539</v>
      </c>
      <c r="J56" s="2" t="n">
        <v>19.9948</v>
      </c>
    </row>
    <row r="57" customFormat="false" ht="15" hidden="false" customHeight="false" outlineLevel="0" collapsed="false">
      <c r="A57" s="2" t="s">
        <v>21</v>
      </c>
      <c r="B57" s="2" t="s">
        <v>30</v>
      </c>
      <c r="C57" s="2" t="n">
        <v>9000</v>
      </c>
      <c r="D57" s="2" t="n">
        <v>2</v>
      </c>
      <c r="E57" s="2" t="n">
        <v>9000</v>
      </c>
      <c r="F57" s="2" t="n">
        <v>166938.2828</v>
      </c>
      <c r="G57" s="2" t="n">
        <v>20</v>
      </c>
      <c r="H57" s="2" t="n">
        <v>82771.7851</v>
      </c>
      <c r="I57" s="2" t="n">
        <v>0.0539</v>
      </c>
      <c r="J57" s="2" t="n">
        <v>19.9948</v>
      </c>
    </row>
    <row r="58" customFormat="false" ht="15" hidden="false" customHeight="false" outlineLevel="0" collapsed="false">
      <c r="A58" s="2" t="s">
        <v>21</v>
      </c>
      <c r="B58" s="2" t="s">
        <v>30</v>
      </c>
      <c r="C58" s="2" t="n">
        <v>9000</v>
      </c>
      <c r="D58" s="2" t="n">
        <v>3</v>
      </c>
      <c r="E58" s="2" t="n">
        <v>9000</v>
      </c>
      <c r="F58" s="2" t="n">
        <v>166938.2828</v>
      </c>
      <c r="G58" s="2" t="n">
        <v>20</v>
      </c>
      <c r="H58" s="2" t="n">
        <v>82771.7851</v>
      </c>
      <c r="I58" s="2" t="n">
        <v>0.0539</v>
      </c>
      <c r="J58" s="2" t="n">
        <v>19.9948</v>
      </c>
    </row>
    <row r="59" customFormat="false" ht="15" hidden="false" customHeight="false" outlineLevel="0" collapsed="false">
      <c r="A59" s="2" t="s">
        <v>21</v>
      </c>
      <c r="B59" s="2" t="s">
        <v>31</v>
      </c>
      <c r="C59" s="2" t="n">
        <v>10000</v>
      </c>
      <c r="D59" s="2" t="n">
        <v>1</v>
      </c>
      <c r="E59" s="2" t="n">
        <v>10000</v>
      </c>
      <c r="F59" s="2" t="n">
        <v>185179.1696</v>
      </c>
      <c r="G59" s="2" t="n">
        <v>20</v>
      </c>
      <c r="H59" s="2" t="n">
        <v>94672.2837</v>
      </c>
      <c r="I59" s="2" t="n">
        <v>0.054</v>
      </c>
      <c r="J59" s="2" t="n">
        <v>19.993</v>
      </c>
    </row>
    <row r="60" customFormat="false" ht="15" hidden="false" customHeight="false" outlineLevel="0" collapsed="false">
      <c r="A60" s="2" t="s">
        <v>21</v>
      </c>
      <c r="B60" s="2" t="s">
        <v>31</v>
      </c>
      <c r="C60" s="2" t="n">
        <v>10000</v>
      </c>
      <c r="D60" s="2" t="n">
        <v>2</v>
      </c>
      <c r="E60" s="2" t="n">
        <v>10000</v>
      </c>
      <c r="F60" s="2" t="n">
        <v>185179.1696</v>
      </c>
      <c r="G60" s="2" t="n">
        <v>20</v>
      </c>
      <c r="H60" s="2" t="n">
        <v>94672.2837</v>
      </c>
      <c r="I60" s="2" t="n">
        <v>0.054</v>
      </c>
      <c r="J60" s="2" t="n">
        <v>19.993</v>
      </c>
    </row>
    <row r="61" customFormat="false" ht="15" hidden="false" customHeight="false" outlineLevel="0" collapsed="false">
      <c r="A61" s="2" t="s">
        <v>21</v>
      </c>
      <c r="B61" s="2" t="s">
        <v>31</v>
      </c>
      <c r="C61" s="2" t="n">
        <v>10000</v>
      </c>
      <c r="D61" s="2" t="n">
        <v>3</v>
      </c>
      <c r="E61" s="2" t="n">
        <v>10000</v>
      </c>
      <c r="F61" s="2" t="n">
        <v>185179.1696</v>
      </c>
      <c r="G61" s="2" t="n">
        <v>20</v>
      </c>
      <c r="H61" s="2" t="n">
        <v>94672.2837</v>
      </c>
      <c r="I61" s="2" t="n">
        <v>0.054</v>
      </c>
      <c r="J61" s="2" t="n">
        <v>19.993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39.5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32</v>
      </c>
      <c r="E1" s="1" t="s">
        <v>7</v>
      </c>
      <c r="F1" s="1" t="s">
        <v>33</v>
      </c>
      <c r="G1" s="1" t="s">
        <v>34</v>
      </c>
      <c r="H1" s="1" t="s">
        <v>9</v>
      </c>
    </row>
    <row r="2" customFormat="false" ht="15" hidden="false" customHeight="false" outlineLevel="0" collapsed="false">
      <c r="A2" s="2" t="s">
        <v>11</v>
      </c>
      <c r="B2" s="2" t="s">
        <v>10</v>
      </c>
      <c r="C2" s="2" t="n">
        <v>100</v>
      </c>
      <c r="D2" s="3" t="n">
        <f aca="false">AVERAGEIFS('Raw Results'!$F$2:$F$61,'Raw Results'!$B$2:$B$61,$A2)</f>
        <v>2703.81</v>
      </c>
      <c r="E2" s="3" t="n">
        <f aca="false">AVERAGEIFS('Raw Results'!$H$2:$H$61,'Raw Results'!$B$2:$B$61,$A2)</f>
        <v>1199.316</v>
      </c>
      <c r="F2" s="4" t="n">
        <f aca="false">AVERAGEIFS('Raw Results'!$I$2:$I$61,'Raw Results'!$B$2:$B$61,$A2)</f>
        <v>0.037</v>
      </c>
      <c r="G2" s="3" t="n">
        <f aca="false">AVERAGEIFS('Raw Results'!$G$2:$G$61,'Raw Results'!$B$2:$B$61,$A2)</f>
        <v>20</v>
      </c>
      <c r="H2" s="3" t="n">
        <f aca="false">AVERAGEIFS('Raw Results'!$J$2:$J$61,'Raw Results'!$B$2:$B$61,$A2)</f>
        <v>9.9929</v>
      </c>
    </row>
    <row r="3" customFormat="false" ht="15" hidden="false" customHeight="false" outlineLevel="0" collapsed="false">
      <c r="A3" s="2" t="s">
        <v>12</v>
      </c>
      <c r="B3" s="2" t="s">
        <v>10</v>
      </c>
      <c r="C3" s="2" t="n">
        <v>200</v>
      </c>
      <c r="D3" s="3" t="n">
        <f aca="false">AVERAGEIFS('Raw Results'!$F$2:$F$61,'Raw Results'!$B$2:$B$61,$A3)</f>
        <v>2819.61</v>
      </c>
      <c r="E3" s="3" t="n">
        <f aca="false">AVERAGEIFS('Raw Results'!$H$2:$H$61,'Raw Results'!$B$2:$B$61,$A3)</f>
        <v>1415.346</v>
      </c>
      <c r="F3" s="4" t="n">
        <f aca="false">AVERAGEIFS('Raw Results'!$I$2:$I$61,'Raw Results'!$B$2:$B$61,$A3)</f>
        <v>0.0709</v>
      </c>
      <c r="G3" s="3" t="n">
        <f aca="false">AVERAGEIFS('Raw Results'!$G$2:$G$61,'Raw Results'!$B$2:$B$61,$A3)</f>
        <v>20</v>
      </c>
      <c r="H3" s="3" t="n">
        <f aca="false">AVERAGEIFS('Raw Results'!$J$2:$J$61,'Raw Results'!$B$2:$B$61,$A3)</f>
        <v>19.3073</v>
      </c>
    </row>
    <row r="4" customFormat="false" ht="15" hidden="false" customHeight="false" outlineLevel="0" collapsed="false">
      <c r="A4" s="2" t="s">
        <v>13</v>
      </c>
      <c r="B4" s="2" t="s">
        <v>10</v>
      </c>
      <c r="C4" s="2" t="n">
        <v>300</v>
      </c>
      <c r="D4" s="3" t="n">
        <f aca="false">AVERAGEIFS('Raw Results'!$F$2:$F$61,'Raw Results'!$B$2:$B$61,$A4)</f>
        <v>7612.21</v>
      </c>
      <c r="E4" s="3" t="n">
        <f aca="false">AVERAGEIFS('Raw Results'!$H$2:$H$61,'Raw Results'!$B$2:$B$61,$A4)</f>
        <v>3653.2327</v>
      </c>
      <c r="F4" s="4" t="n">
        <f aca="false">AVERAGEIFS('Raw Results'!$I$2:$I$61,'Raw Results'!$B$2:$B$61,$A4)</f>
        <v>0.0394</v>
      </c>
      <c r="G4" s="3" t="n">
        <f aca="false">AVERAGEIFS('Raw Results'!$G$2:$G$61,'Raw Results'!$B$2:$B$61,$A4)</f>
        <v>20</v>
      </c>
      <c r="H4" s="3" t="n">
        <f aca="false">AVERAGEIFS('Raw Results'!$J$2:$J$61,'Raw Results'!$B$2:$B$61,$A4)</f>
        <v>10.9104</v>
      </c>
    </row>
    <row r="5" customFormat="false" ht="15" hidden="false" customHeight="false" outlineLevel="0" collapsed="false">
      <c r="A5" s="2" t="s">
        <v>14</v>
      </c>
      <c r="B5" s="2" t="s">
        <v>10</v>
      </c>
      <c r="C5" s="2" t="n">
        <v>400</v>
      </c>
      <c r="D5" s="3" t="n">
        <f aca="false">AVERAGEIFS('Raw Results'!$F$2:$F$61,'Raw Results'!$B$2:$B$61,$A5)</f>
        <v>18035.41</v>
      </c>
      <c r="E5" s="3" t="n">
        <f aca="false">AVERAGEIFS('Raw Results'!$H$2:$H$61,'Raw Results'!$B$2:$B$61,$A5)</f>
        <v>7746.8145</v>
      </c>
      <c r="F5" s="4" t="n">
        <f aca="false">AVERAGEIFS('Raw Results'!$I$2:$I$61,'Raw Results'!$B$2:$B$61,$A5)</f>
        <v>0.0222</v>
      </c>
      <c r="G5" s="3" t="n">
        <f aca="false">AVERAGEIFS('Raw Results'!$G$2:$G$61,'Raw Results'!$B$2:$B$61,$A5)</f>
        <v>20</v>
      </c>
      <c r="H5" s="3" t="n">
        <f aca="false">AVERAGEIFS('Raw Results'!$J$2:$J$61,'Raw Results'!$B$2:$B$61,$A5)</f>
        <v>5.752</v>
      </c>
    </row>
    <row r="6" customFormat="false" ht="15" hidden="false" customHeight="false" outlineLevel="0" collapsed="false">
      <c r="A6" s="2" t="s">
        <v>15</v>
      </c>
      <c r="B6" s="2" t="s">
        <v>10</v>
      </c>
      <c r="C6" s="2" t="n">
        <v>500</v>
      </c>
      <c r="D6" s="3" t="n">
        <f aca="false">AVERAGEIFS('Raw Results'!$F$2:$F$61,'Raw Results'!$B$2:$B$61,$A6)</f>
        <v>6573.61</v>
      </c>
      <c r="E6" s="3" t="n">
        <f aca="false">AVERAGEIFS('Raw Results'!$H$2:$H$61,'Raw Results'!$B$2:$B$61,$A6)</f>
        <v>3204.81</v>
      </c>
      <c r="F6" s="4" t="n">
        <f aca="false">AVERAGEIFS('Raw Results'!$I$2:$I$61,'Raw Results'!$B$2:$B$61,$A6)</f>
        <v>0.0761</v>
      </c>
      <c r="G6" s="3" t="n">
        <f aca="false">AVERAGEIFS('Raw Results'!$G$2:$G$61,'Raw Results'!$B$2:$B$61,$A6)</f>
        <v>20</v>
      </c>
      <c r="H6" s="3" t="n">
        <f aca="false">AVERAGEIFS('Raw Results'!$J$2:$J$61,'Raw Results'!$B$2:$B$61,$A6)</f>
        <v>19.7765</v>
      </c>
    </row>
    <row r="7" customFormat="false" ht="15" hidden="false" customHeight="false" outlineLevel="0" collapsed="false">
      <c r="A7" s="2" t="s">
        <v>16</v>
      </c>
      <c r="B7" s="2" t="s">
        <v>10</v>
      </c>
      <c r="C7" s="2" t="n">
        <v>600</v>
      </c>
      <c r="D7" s="3" t="n">
        <f aca="false">AVERAGEIFS('Raw Results'!$F$2:$F$61,'Raw Results'!$B$2:$B$61,$A7)</f>
        <v>15021.41</v>
      </c>
      <c r="E7" s="3" t="n">
        <f aca="false">AVERAGEIFS('Raw Results'!$H$2:$H$61,'Raw Results'!$B$2:$B$61,$A7)</f>
        <v>6734.208</v>
      </c>
      <c r="F7" s="4" t="n">
        <f aca="false">AVERAGEIFS('Raw Results'!$I$2:$I$61,'Raw Results'!$B$2:$B$61,$A7)</f>
        <v>0.0399</v>
      </c>
      <c r="G7" s="3" t="n">
        <f aca="false">AVERAGEIFS('Raw Results'!$G$2:$G$61,'Raw Results'!$B$2:$B$61,$A7)</f>
        <v>20</v>
      </c>
      <c r="H7" s="3" t="n">
        <f aca="false">AVERAGEIFS('Raw Results'!$J$2:$J$61,'Raw Results'!$B$2:$B$61,$A7)</f>
        <v>10.9632</v>
      </c>
    </row>
    <row r="8" customFormat="false" ht="15" hidden="false" customHeight="false" outlineLevel="0" collapsed="false">
      <c r="A8" s="2" t="s">
        <v>17</v>
      </c>
      <c r="B8" s="2" t="s">
        <v>10</v>
      </c>
      <c r="C8" s="2" t="n">
        <v>700</v>
      </c>
      <c r="D8" s="3" t="n">
        <f aca="false">AVERAGEIFS('Raw Results'!$F$2:$F$61,'Raw Results'!$B$2:$B$61,$A8)</f>
        <v>11927.01</v>
      </c>
      <c r="E8" s="3" t="n">
        <f aca="false">AVERAGEIFS('Raw Results'!$H$2:$H$61,'Raw Results'!$B$2:$B$61,$A8)</f>
        <v>5294.5951</v>
      </c>
      <c r="F8" s="4" t="n">
        <f aca="false">AVERAGEIFS('Raw Results'!$I$2:$I$61,'Raw Results'!$B$2:$B$61,$A8)</f>
        <v>0.0587</v>
      </c>
      <c r="G8" s="3" t="n">
        <f aca="false">AVERAGEIFS('Raw Results'!$G$2:$G$61,'Raw Results'!$B$2:$B$61,$A8)</f>
        <v>20</v>
      </c>
      <c r="H8" s="3" t="n">
        <f aca="false">AVERAGEIFS('Raw Results'!$J$2:$J$61,'Raw Results'!$B$2:$B$61,$A8)</f>
        <v>14.6715</v>
      </c>
    </row>
    <row r="9" customFormat="false" ht="15" hidden="false" customHeight="false" outlineLevel="0" collapsed="false">
      <c r="A9" s="2" t="s">
        <v>18</v>
      </c>
      <c r="B9" s="2" t="s">
        <v>10</v>
      </c>
      <c r="C9" s="2" t="n">
        <v>800</v>
      </c>
      <c r="D9" s="3" t="n">
        <f aca="false">AVERAGEIFS('Raw Results'!$F$2:$F$61,'Raw Results'!$B$2:$B$61,$A9)</f>
        <v>27485.21</v>
      </c>
      <c r="E9" s="3" t="n">
        <f aca="false">AVERAGEIFS('Raw Results'!$H$2:$H$61,'Raw Results'!$B$2:$B$61,$A9)</f>
        <v>11212.0375</v>
      </c>
      <c r="F9" s="4" t="n">
        <f aca="false">AVERAGEIFS('Raw Results'!$I$2:$I$61,'Raw Results'!$B$2:$B$61,$A9)</f>
        <v>0.0291</v>
      </c>
      <c r="G9" s="3" t="n">
        <f aca="false">AVERAGEIFS('Raw Results'!$G$2:$G$61,'Raw Results'!$B$2:$B$61,$A9)</f>
        <v>20</v>
      </c>
      <c r="H9" s="3" t="n">
        <f aca="false">AVERAGEIFS('Raw Results'!$J$2:$J$61,'Raw Results'!$B$2:$B$61,$A9)</f>
        <v>7.2008</v>
      </c>
    </row>
    <row r="10" customFormat="false" ht="15" hidden="false" customHeight="false" outlineLevel="0" collapsed="false">
      <c r="A10" s="2" t="s">
        <v>19</v>
      </c>
      <c r="B10" s="2" t="s">
        <v>10</v>
      </c>
      <c r="C10" s="2" t="n">
        <v>900</v>
      </c>
      <c r="D10" s="3" t="n">
        <f aca="false">AVERAGEIFS('Raw Results'!$F$2:$F$61,'Raw Results'!$B$2:$B$61,$A10)</f>
        <v>32757.81</v>
      </c>
      <c r="E10" s="3" t="n">
        <f aca="false">AVERAGEIFS('Raw Results'!$H$2:$H$61,'Raw Results'!$B$2:$B$61,$A10)</f>
        <v>12056.4467</v>
      </c>
      <c r="F10" s="4" t="n">
        <f aca="false">AVERAGEIFS('Raw Results'!$I$2:$I$61,'Raw Results'!$B$2:$B$61,$A10)</f>
        <v>0.0275</v>
      </c>
      <c r="G10" s="3" t="n">
        <f aca="false">AVERAGEIFS('Raw Results'!$G$2:$G$61,'Raw Results'!$B$2:$B$61,$A10)</f>
        <v>20</v>
      </c>
      <c r="H10" s="3" t="n">
        <f aca="false">AVERAGEIFS('Raw Results'!$J$2:$J$61,'Raw Results'!$B$2:$B$61,$A10)</f>
        <v>7.3294</v>
      </c>
    </row>
    <row r="11" customFormat="false" ht="15" hidden="false" customHeight="false" outlineLevel="0" collapsed="false">
      <c r="A11" s="2" t="s">
        <v>20</v>
      </c>
      <c r="B11" s="2" t="s">
        <v>10</v>
      </c>
      <c r="C11" s="2" t="n">
        <v>1000</v>
      </c>
      <c r="D11" s="3" t="n">
        <f aca="false">AVERAGEIFS('Raw Results'!$F$2:$F$61,'Raw Results'!$B$2:$B$61,$A11)</f>
        <v>22779.81</v>
      </c>
      <c r="E11" s="3" t="n">
        <f aca="false">AVERAGEIFS('Raw Results'!$H$2:$H$61,'Raw Results'!$B$2:$B$61,$A11)</f>
        <v>8748.2664</v>
      </c>
      <c r="F11" s="4" t="n">
        <f aca="false">AVERAGEIFS('Raw Results'!$I$2:$I$61,'Raw Results'!$B$2:$B$61,$A11)</f>
        <v>0.0439</v>
      </c>
      <c r="G11" s="3" t="n">
        <f aca="false">AVERAGEIFS('Raw Results'!$G$2:$G$61,'Raw Results'!$B$2:$B$61,$A11)</f>
        <v>20</v>
      </c>
      <c r="H11" s="3" t="n">
        <f aca="false">AVERAGEIFS('Raw Results'!$J$2:$J$61,'Raw Results'!$B$2:$B$61,$A11)</f>
        <v>11.3839</v>
      </c>
    </row>
    <row r="12" customFormat="false" ht="15" hidden="false" customHeight="false" outlineLevel="0" collapsed="false">
      <c r="A12" s="2" t="s">
        <v>22</v>
      </c>
      <c r="B12" s="2" t="s">
        <v>21</v>
      </c>
      <c r="C12" s="2" t="n">
        <v>1000</v>
      </c>
      <c r="D12" s="3" t="n">
        <f aca="false">AVERAGEIFS('Raw Results'!$F$2:$F$61,'Raw Results'!$B$2:$B$61,$A12)</f>
        <v>18697.8676</v>
      </c>
      <c r="E12" s="3" t="n">
        <f aca="false">AVERAGEIFS('Raw Results'!$H$2:$H$61,'Raw Results'!$B$2:$B$61,$A12)</f>
        <v>9187.692</v>
      </c>
      <c r="F12" s="4" t="n">
        <f aca="false">AVERAGEIFS('Raw Results'!$I$2:$I$61,'Raw Results'!$B$2:$B$61,$A12)</f>
        <v>0.0535</v>
      </c>
      <c r="G12" s="3" t="n">
        <f aca="false">AVERAGEIFS('Raw Results'!$G$2:$G$61,'Raw Results'!$B$2:$B$61,$A12)</f>
        <v>20</v>
      </c>
      <c r="H12" s="3" t="n">
        <f aca="false">AVERAGEIFS('Raw Results'!$J$2:$J$61,'Raw Results'!$B$2:$B$61,$A12)</f>
        <v>19.926</v>
      </c>
    </row>
    <row r="13" customFormat="false" ht="15" hidden="false" customHeight="false" outlineLevel="0" collapsed="false">
      <c r="A13" s="2" t="s">
        <v>23</v>
      </c>
      <c r="B13" s="2" t="s">
        <v>21</v>
      </c>
      <c r="C13" s="2" t="n">
        <v>2000</v>
      </c>
      <c r="D13" s="3" t="n">
        <f aca="false">AVERAGEIFS('Raw Results'!$F$2:$F$61,'Raw Results'!$B$2:$B$61,$A13)</f>
        <v>37392.9544</v>
      </c>
      <c r="E13" s="3" t="n">
        <f aca="false">AVERAGEIFS('Raw Results'!$H$2:$H$61,'Raw Results'!$B$2:$B$61,$A13)</f>
        <v>18707.5826</v>
      </c>
      <c r="F13" s="4" t="n">
        <f aca="false">AVERAGEIFS('Raw Results'!$I$2:$I$61,'Raw Results'!$B$2:$B$61,$A13)</f>
        <v>0.0535</v>
      </c>
      <c r="G13" s="3" t="n">
        <f aca="false">AVERAGEIFS('Raw Results'!$G$2:$G$61,'Raw Results'!$B$2:$B$61,$A13)</f>
        <v>20</v>
      </c>
      <c r="H13" s="3" t="n">
        <f aca="false">AVERAGEIFS('Raw Results'!$J$2:$J$61,'Raw Results'!$B$2:$B$61,$A13)</f>
        <v>19.9101</v>
      </c>
    </row>
    <row r="14" customFormat="false" ht="15" hidden="false" customHeight="false" outlineLevel="0" collapsed="false">
      <c r="A14" s="2" t="s">
        <v>24</v>
      </c>
      <c r="B14" s="2" t="s">
        <v>21</v>
      </c>
      <c r="C14" s="2" t="n">
        <v>3000</v>
      </c>
      <c r="D14" s="3" t="n">
        <f aca="false">AVERAGEIFS('Raw Results'!$F$2:$F$61,'Raw Results'!$B$2:$B$61,$A14)</f>
        <v>55813.8372</v>
      </c>
      <c r="E14" s="3" t="n">
        <f aca="false">AVERAGEIFS('Raw Results'!$H$2:$H$61,'Raw Results'!$B$2:$B$61,$A14)</f>
        <v>27481.9951</v>
      </c>
      <c r="F14" s="4" t="n">
        <f aca="false">AVERAGEIFS('Raw Results'!$I$2:$I$61,'Raw Results'!$B$2:$B$61,$A14)</f>
        <v>0.0538</v>
      </c>
      <c r="G14" s="3" t="n">
        <f aca="false">AVERAGEIFS('Raw Results'!$G$2:$G$61,'Raw Results'!$B$2:$B$61,$A14)</f>
        <v>20</v>
      </c>
      <c r="H14" s="3" t="n">
        <f aca="false">AVERAGEIFS('Raw Results'!$J$2:$J$61,'Raw Results'!$B$2:$B$61,$A14)</f>
        <v>19.9544</v>
      </c>
    </row>
    <row r="15" customFormat="false" ht="15" hidden="false" customHeight="false" outlineLevel="0" collapsed="false">
      <c r="A15" s="2" t="s">
        <v>25</v>
      </c>
      <c r="B15" s="2" t="s">
        <v>21</v>
      </c>
      <c r="C15" s="2" t="n">
        <v>4000</v>
      </c>
      <c r="D15" s="3" t="n">
        <f aca="false">AVERAGEIFS('Raw Results'!$F$2:$F$61,'Raw Results'!$B$2:$B$61,$A15)</f>
        <v>73713.864</v>
      </c>
      <c r="E15" s="3" t="n">
        <f aca="false">AVERAGEIFS('Raw Results'!$H$2:$H$61,'Raw Results'!$B$2:$B$61,$A15)</f>
        <v>36027.1377</v>
      </c>
      <c r="F15" s="4" t="n">
        <f aca="false">AVERAGEIFS('Raw Results'!$I$2:$I$61,'Raw Results'!$B$2:$B$61,$A15)</f>
        <v>0.0543</v>
      </c>
      <c r="G15" s="3" t="n">
        <f aca="false">AVERAGEIFS('Raw Results'!$G$2:$G$61,'Raw Results'!$B$2:$B$61,$A15)</f>
        <v>20</v>
      </c>
      <c r="H15" s="3" t="n">
        <f aca="false">AVERAGEIFS('Raw Results'!$J$2:$J$61,'Raw Results'!$B$2:$B$61,$A15)</f>
        <v>19.9784</v>
      </c>
    </row>
    <row r="16" customFormat="false" ht="15" hidden="false" customHeight="false" outlineLevel="0" collapsed="false">
      <c r="A16" s="2" t="s">
        <v>26</v>
      </c>
      <c r="B16" s="2" t="s">
        <v>21</v>
      </c>
      <c r="C16" s="2" t="n">
        <v>5000</v>
      </c>
      <c r="D16" s="3" t="n">
        <f aca="false">AVERAGEIFS('Raw Results'!$F$2:$F$61,'Raw Results'!$B$2:$B$61,$A16)</f>
        <v>92886.0948</v>
      </c>
      <c r="E16" s="3" t="n">
        <f aca="false">AVERAGEIFS('Raw Results'!$H$2:$H$61,'Raw Results'!$B$2:$B$61,$A16)</f>
        <v>46383.4689</v>
      </c>
      <c r="F16" s="4" t="n">
        <f aca="false">AVERAGEIFS('Raw Results'!$I$2:$I$61,'Raw Results'!$B$2:$B$61,$A16)</f>
        <v>0.0538</v>
      </c>
      <c r="G16" s="3" t="n">
        <f aca="false">AVERAGEIFS('Raw Results'!$G$2:$G$61,'Raw Results'!$B$2:$B$61,$A16)</f>
        <v>20</v>
      </c>
      <c r="H16" s="3" t="n">
        <f aca="false">AVERAGEIFS('Raw Results'!$J$2:$J$61,'Raw Results'!$B$2:$B$61,$A16)</f>
        <v>19.9953</v>
      </c>
    </row>
    <row r="17" customFormat="false" ht="15" hidden="false" customHeight="false" outlineLevel="0" collapsed="false">
      <c r="A17" s="2" t="s">
        <v>27</v>
      </c>
      <c r="B17" s="2" t="s">
        <v>21</v>
      </c>
      <c r="C17" s="2" t="n">
        <v>6000</v>
      </c>
      <c r="D17" s="3" t="n">
        <f aca="false">AVERAGEIFS('Raw Results'!$F$2:$F$61,'Raw Results'!$B$2:$B$61,$A17)</f>
        <v>111503.3932</v>
      </c>
      <c r="E17" s="3" t="n">
        <f aca="false">AVERAGEIFS('Raw Results'!$H$2:$H$61,'Raw Results'!$B$2:$B$61,$A17)</f>
        <v>55737.1555</v>
      </c>
      <c r="F17" s="4" t="n">
        <f aca="false">AVERAGEIFS('Raw Results'!$I$2:$I$61,'Raw Results'!$B$2:$B$61,$A17)</f>
        <v>0.0538</v>
      </c>
      <c r="G17" s="3" t="n">
        <f aca="false">AVERAGEIFS('Raw Results'!$G$2:$G$61,'Raw Results'!$B$2:$B$61,$A17)</f>
        <v>20</v>
      </c>
      <c r="H17" s="3" t="n">
        <f aca="false">AVERAGEIFS('Raw Results'!$J$2:$J$61,'Raw Results'!$B$2:$B$61,$A17)</f>
        <v>19.9879</v>
      </c>
    </row>
    <row r="18" customFormat="false" ht="15" hidden="false" customHeight="false" outlineLevel="0" collapsed="false">
      <c r="A18" s="2" t="s">
        <v>28</v>
      </c>
      <c r="B18" s="2" t="s">
        <v>21</v>
      </c>
      <c r="C18" s="2" t="n">
        <v>7000</v>
      </c>
      <c r="D18" s="3" t="n">
        <f aca="false">AVERAGEIFS('Raw Results'!$F$2:$F$61,'Raw Results'!$B$2:$B$61,$A18)</f>
        <v>130591.384</v>
      </c>
      <c r="E18" s="3" t="n">
        <f aca="false">AVERAGEIFS('Raw Results'!$H$2:$H$61,'Raw Results'!$B$2:$B$61,$A18)</f>
        <v>65521.7715</v>
      </c>
      <c r="F18" s="4" t="n">
        <f aca="false">AVERAGEIFS('Raw Results'!$I$2:$I$61,'Raw Results'!$B$2:$B$61,$A18)</f>
        <v>0.0536</v>
      </c>
      <c r="G18" s="3" t="n">
        <f aca="false">AVERAGEIFS('Raw Results'!$G$2:$G$61,'Raw Results'!$B$2:$B$61,$A18)</f>
        <v>20</v>
      </c>
      <c r="H18" s="3" t="n">
        <f aca="false">AVERAGEIFS('Raw Results'!$J$2:$J$61,'Raw Results'!$B$2:$B$61,$A18)</f>
        <v>19.979</v>
      </c>
    </row>
    <row r="19" customFormat="false" ht="15" hidden="false" customHeight="false" outlineLevel="0" collapsed="false">
      <c r="A19" s="2" t="s">
        <v>29</v>
      </c>
      <c r="B19" s="2" t="s">
        <v>21</v>
      </c>
      <c r="C19" s="2" t="n">
        <v>8000</v>
      </c>
      <c r="D19" s="3" t="n">
        <f aca="false">AVERAGEIFS('Raw Results'!$F$2:$F$61,'Raw Results'!$B$2:$B$61,$A19)</f>
        <v>148490.6976</v>
      </c>
      <c r="E19" s="3" t="n">
        <f aca="false">AVERAGEIFS('Raw Results'!$H$2:$H$61,'Raw Results'!$B$2:$B$61,$A19)</f>
        <v>74212.2587</v>
      </c>
      <c r="F19" s="4" t="n">
        <f aca="false">AVERAGEIFS('Raw Results'!$I$2:$I$61,'Raw Results'!$B$2:$B$61,$A19)</f>
        <v>0.0539</v>
      </c>
      <c r="G19" s="3" t="n">
        <f aca="false">AVERAGEIFS('Raw Results'!$G$2:$G$61,'Raw Results'!$B$2:$B$61,$A19)</f>
        <v>20</v>
      </c>
      <c r="H19" s="3" t="n">
        <f aca="false">AVERAGEIFS('Raw Results'!$J$2:$J$61,'Raw Results'!$B$2:$B$61,$A19)</f>
        <v>19.9988</v>
      </c>
    </row>
    <row r="20" customFormat="false" ht="15" hidden="false" customHeight="false" outlineLevel="0" collapsed="false">
      <c r="A20" s="2" t="s">
        <v>30</v>
      </c>
      <c r="B20" s="2" t="s">
        <v>21</v>
      </c>
      <c r="C20" s="2" t="n">
        <v>9000</v>
      </c>
      <c r="D20" s="3" t="n">
        <f aca="false">AVERAGEIFS('Raw Results'!$F$2:$F$61,'Raw Results'!$B$2:$B$61,$A20)</f>
        <v>166938.2828</v>
      </c>
      <c r="E20" s="3" t="n">
        <f aca="false">AVERAGEIFS('Raw Results'!$H$2:$H$61,'Raw Results'!$B$2:$B$61,$A20)</f>
        <v>82771.7851</v>
      </c>
      <c r="F20" s="4" t="n">
        <f aca="false">AVERAGEIFS('Raw Results'!$I$2:$I$61,'Raw Results'!$B$2:$B$61,$A20)</f>
        <v>0.0539</v>
      </c>
      <c r="G20" s="3" t="n">
        <f aca="false">AVERAGEIFS('Raw Results'!$G$2:$G$61,'Raw Results'!$B$2:$B$61,$A20)</f>
        <v>20</v>
      </c>
      <c r="H20" s="3" t="n">
        <f aca="false">AVERAGEIFS('Raw Results'!$J$2:$J$61,'Raw Results'!$B$2:$B$61,$A20)</f>
        <v>19.9948</v>
      </c>
    </row>
    <row r="21" customFormat="false" ht="15" hidden="false" customHeight="false" outlineLevel="0" collapsed="false">
      <c r="A21" s="2" t="s">
        <v>31</v>
      </c>
      <c r="B21" s="2" t="s">
        <v>21</v>
      </c>
      <c r="C21" s="2" t="n">
        <v>10000</v>
      </c>
      <c r="D21" s="3" t="n">
        <f aca="false">AVERAGEIFS('Raw Results'!$F$2:$F$61,'Raw Results'!$B$2:$B$61,$A21)</f>
        <v>185179.1696</v>
      </c>
      <c r="E21" s="3" t="n">
        <f aca="false">AVERAGEIFS('Raw Results'!$H$2:$H$61,'Raw Results'!$B$2:$B$61,$A21)</f>
        <v>94672.2837</v>
      </c>
      <c r="F21" s="4" t="n">
        <f aca="false">AVERAGEIFS('Raw Results'!$I$2:$I$61,'Raw Results'!$B$2:$B$61,$A21)</f>
        <v>0.054</v>
      </c>
      <c r="G21" s="3" t="n">
        <f aca="false">AVERAGEIFS('Raw Results'!$G$2:$G$61,'Raw Results'!$B$2:$B$61,$A21)</f>
        <v>20</v>
      </c>
      <c r="H21" s="3" t="n">
        <f aca="false">AVERAGEIFS('Raw Results'!$J$2:$J$61,'Raw Results'!$B$2:$B$61,$A21)</f>
        <v>19.993</v>
      </c>
    </row>
    <row r="23" customFormat="false" ht="15" hidden="false" customHeight="false" outlineLevel="0" collapsed="false">
      <c r="A23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</cols>
  <sheetData>
    <row r="1" customFormat="false" ht="17.35" hidden="false" customHeight="false" outlineLevel="0" collapsed="false">
      <c r="A1" s="6" t="s">
        <v>36</v>
      </c>
    </row>
    <row r="54" customFormat="false" ht="17.35" hidden="false" customHeight="false" outlineLevel="0" collapsed="false">
      <c r="A54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2026-10-05T06:01:19Z</dcterms:created>
  <dc:creator>openpyxl</dc:creator>
  <dc:description/>
  <dc:language>en-US</dc:language>
  <cp:lastModifiedBy/>
  <dcterms:modified xsi:type="dcterms:W3CDTF">2026-10-05T06:01:21Z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